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sebraepr-my.sharepoint.com/personal/viviane_brasil_sebraepr_onmicrosoft_com/Documents/Cópia OneDrive 10 07/OneDrive/Planilhas/PLANILHA 2021/23 - MERCADO - GERADOR DE PERSONAS/"/>
    </mc:Choice>
  </mc:AlternateContent>
  <xr:revisionPtr revIDLastSave="6" documentId="13_ncr:1_{173D0AEF-A74C-4A86-8183-C43EF0FFAAA3}" xr6:coauthVersionLast="46" xr6:coauthVersionMax="47" xr10:uidLastSave="{438BBB73-366B-4791-8801-608E6600C47A}"/>
  <bookViews>
    <workbookView xWindow="-110" yWindow="-110" windowWidth="19420" windowHeight="10420" tabRatio="0" firstSheet="8" activeTab="8" xr2:uid="{B3B1BE14-F09C-407A-9692-42B8B0CC6224}"/>
  </bookViews>
  <sheets>
    <sheet name="Menu" sheetId="11" r:id="rId1"/>
    <sheet name="CADASTRO" sheetId="25" r:id="rId2"/>
    <sheet name="INFORMAÇÕES" sheetId="26" r:id="rId3"/>
    <sheet name="OBJETIVOS" sheetId="38" r:id="rId4"/>
    <sheet name="AVALIAÇÃO" sheetId="39" r:id="rId5"/>
    <sheet name="FOTO" sheetId="40" r:id="rId6"/>
    <sheet name="FICHA" sheetId="34" r:id="rId7"/>
    <sheet name="Aux" sheetId="41" r:id="rId8"/>
    <sheet name="Dash" sheetId="21" r:id="rId9"/>
    <sheet name="Instruções" sheetId="20" r:id="rId10"/>
  </sheets>
  <definedNames>
    <definedName name="_xlnm.Print_Area" localSheetId="4">AVALIAÇÃO!$B$10:$F$34</definedName>
    <definedName name="_xlnm.Print_Area" localSheetId="1">CADASTRO!$B$10:$F$34</definedName>
    <definedName name="_xlnm.Print_Area" localSheetId="8">Dash!$A$1:$T$55</definedName>
    <definedName name="_xlnm.Print_Area" localSheetId="6">FICHA!$B$13:$N$51</definedName>
    <definedName name="_xlnm.Print_Area" localSheetId="5">FOTO!$B$10:$F$34</definedName>
    <definedName name="_xlnm.Print_Area" localSheetId="2">INFORMAÇÕES!$B$10:$F$34</definedName>
    <definedName name="_xlnm.Print_Area" localSheetId="3">OBJETIVOS!$B$10:$F$34</definedName>
    <definedName name="avaliacao">#REF!</definedName>
    <definedName name="bin">#REF!</definedName>
    <definedName name="Foto">INDIRECT(FICHA!$M$12)</definedName>
    <definedName name="Foto01">FOTO!$C$15</definedName>
    <definedName name="Foto02">FOTO!$C$16</definedName>
    <definedName name="Foto03">FOTO!$C$17</definedName>
    <definedName name="Foto04">FOTO!$C$18</definedName>
    <definedName name="Foto05">FOTO!$C$19</definedName>
    <definedName name="Foto06">FOTO!$C$20</definedName>
    <definedName name="Foto07">FOTO!$C$21</definedName>
    <definedName name="Foto08">FOTO!$C$22</definedName>
    <definedName name="Foto09">FOTO!$C$23</definedName>
    <definedName name="Foto10">FOTO!$C$24</definedName>
    <definedName name="Foto11">FOTO!$C$25</definedName>
    <definedName name="Foto12">FOTO!$C$26</definedName>
    <definedName name="Foto13">FOTO!$C$27</definedName>
    <definedName name="Foto14">FOTO!$C$28</definedName>
    <definedName name="Foto15">FOTO!$C$29</definedName>
    <definedName name="GeneroSelecionado">INDEX(Aux!$C$1:$D$2,MATCH(Aux!$A$1,Aux!$C$1:$C$2,0),2)</definedName>
    <definedName name="pergunta" localSheetId="6">FICHA!$B$13:$B$66</definedName>
    <definedName name="pergunta">#REF!</definedName>
    <definedName name="persona">CADASTRO!$B$15:$B$29</definedName>
    <definedName name="produtos">#REF!</definedName>
    <definedName name="qualit">#REF!</definedName>
    <definedName name="tipo_resp">#REF!</definedName>
    <definedName name="_xlnm.Print_Titles" localSheetId="4">AVALIAÇÃO!$10:$10</definedName>
    <definedName name="_xlnm.Print_Titles" localSheetId="1">CADASTRO!$10:$10</definedName>
    <definedName name="_xlnm.Print_Titles" localSheetId="6">FICHA!$10:$10</definedName>
    <definedName name="_xlnm.Print_Titles" localSheetId="5">FOTO!$10:$10</definedName>
    <definedName name="_xlnm.Print_Titles" localSheetId="2">INFORMAÇÕES!$10:$10</definedName>
    <definedName name="_xlnm.Print_Titles" localSheetId="3">OBJETIVOS!$10:$10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0" i="41" l="1"/>
  <c r="C29" i="41"/>
  <c r="C28" i="41"/>
  <c r="C27" i="41"/>
  <c r="C26" i="41"/>
  <c r="C25" i="41"/>
  <c r="C24" i="41"/>
  <c r="C21" i="41"/>
  <c r="C20" i="41"/>
  <c r="C19" i="41"/>
  <c r="C18" i="41"/>
  <c r="C17" i="41"/>
  <c r="C16" i="41"/>
  <c r="C15" i="41"/>
  <c r="C14" i="41"/>
  <c r="C23" i="41"/>
  <c r="C13" i="41"/>
  <c r="B30" i="41"/>
  <c r="B29" i="41"/>
  <c r="B28" i="41"/>
  <c r="B27" i="41"/>
  <c r="B26" i="41"/>
  <c r="B25" i="41"/>
  <c r="B24" i="41"/>
  <c r="B23" i="41"/>
  <c r="A21" i="41"/>
  <c r="A20" i="41"/>
  <c r="A19" i="41"/>
  <c r="A18" i="41"/>
  <c r="A17" i="41"/>
  <c r="A16" i="41"/>
  <c r="A15" i="41"/>
  <c r="A14" i="41"/>
  <c r="A13" i="41"/>
  <c r="B71" i="21"/>
  <c r="F62" i="21"/>
  <c r="F63" i="21"/>
  <c r="F64" i="21"/>
  <c r="F65" i="21"/>
  <c r="F61" i="21"/>
  <c r="C62" i="21"/>
  <c r="C61" i="21"/>
  <c r="B22" i="34" l="1"/>
  <c r="C42" i="34" s="1"/>
  <c r="B29" i="40"/>
  <c r="B28" i="40"/>
  <c r="B27" i="40"/>
  <c r="B26" i="40"/>
  <c r="B25" i="40"/>
  <c r="B24" i="40"/>
  <c r="B23" i="40"/>
  <c r="B22" i="40"/>
  <c r="B21" i="40"/>
  <c r="B20" i="40"/>
  <c r="B19" i="40"/>
  <c r="B18" i="40"/>
  <c r="B17" i="40"/>
  <c r="B16" i="40"/>
  <c r="B15" i="40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6" i="26"/>
  <c r="B17" i="26"/>
  <c r="B18" i="26"/>
  <c r="B19" i="26"/>
  <c r="B20" i="26"/>
  <c r="B21" i="26"/>
  <c r="B22" i="26"/>
  <c r="B23" i="26"/>
  <c r="B24" i="26"/>
  <c r="B25" i="26"/>
  <c r="B26" i="26"/>
  <c r="B27" i="26"/>
  <c r="B28" i="26"/>
  <c r="B29" i="26"/>
  <c r="B15" i="26"/>
  <c r="A5" i="41" l="1"/>
  <c r="H14" i="34"/>
  <c r="B21" i="41"/>
  <c r="B13" i="41"/>
  <c r="B20" i="41"/>
  <c r="B19" i="41"/>
  <c r="B18" i="41"/>
  <c r="B15" i="41"/>
  <c r="B14" i="41"/>
  <c r="B17" i="41"/>
  <c r="B16" i="41"/>
  <c r="C36" i="34"/>
  <c r="C32" i="34"/>
  <c r="A1" i="41"/>
  <c r="M12" i="34"/>
  <c r="C28" i="34"/>
  <c r="C7" i="41" l="1"/>
  <c r="C6" i="41"/>
  <c r="C8" i="41"/>
  <c r="C9" i="41"/>
  <c r="C10" i="41"/>
  <c r="B10" i="41"/>
  <c r="B6" i="41"/>
  <c r="B7" i="41"/>
  <c r="B8" i="41"/>
  <c r="B9" i="41"/>
</calcChain>
</file>

<file path=xl/sharedStrings.xml><?xml version="1.0" encoding="utf-8"?>
<sst xmlns="http://schemas.openxmlformats.org/spreadsheetml/2006/main" count="126" uniqueCount="92">
  <si>
    <r>
      <rPr>
        <b/>
        <sz val="11"/>
        <color theme="0"/>
        <rFont val="Calibri"/>
        <family val="2"/>
        <scheme val="minor"/>
      </rPr>
      <t>Cadastro de Personas</t>
    </r>
    <r>
      <rPr>
        <b/>
        <sz val="11"/>
        <color theme="7"/>
        <rFont val="Calibri"/>
        <family val="2"/>
        <scheme val="minor"/>
      </rPr>
      <t xml:space="preserve">
Faça o cadastro das personas com as informações referentes a elas.</t>
    </r>
  </si>
  <si>
    <t>Nome da Persona</t>
  </si>
  <si>
    <t>Gênero</t>
  </si>
  <si>
    <t>Idade</t>
  </si>
  <si>
    <t>Escolaridade</t>
  </si>
  <si>
    <t>João Paulo, o empreendedor</t>
  </si>
  <si>
    <t>Maria Lucia, a advogada</t>
  </si>
  <si>
    <t>Felipe Alves, o diretor comercial</t>
  </si>
  <si>
    <t>Masculino</t>
  </si>
  <si>
    <t>Feminino</t>
  </si>
  <si>
    <t>Empreendedor</t>
  </si>
  <si>
    <t>Advogada</t>
  </si>
  <si>
    <t>Diretor</t>
  </si>
  <si>
    <t>Ensino Superior</t>
  </si>
  <si>
    <t>Mestrado</t>
  </si>
  <si>
    <t>Pós Graduado</t>
  </si>
  <si>
    <t>Cargo / Ocupação
O que a persona faz?</t>
  </si>
  <si>
    <r>
      <rPr>
        <b/>
        <sz val="11"/>
        <color theme="0"/>
        <rFont val="Calibri"/>
        <family val="2"/>
        <scheme val="minor"/>
      </rPr>
      <t>Informações da Persona</t>
    </r>
    <r>
      <rPr>
        <b/>
        <sz val="11"/>
        <color theme="7"/>
        <rFont val="Calibri"/>
        <family val="2"/>
        <scheme val="minor"/>
      </rPr>
      <t xml:space="preserve">
Insira mais informações referente às personas cadastradas.</t>
    </r>
  </si>
  <si>
    <t>Startup de tecnologia</t>
  </si>
  <si>
    <t>Empresa de cobrança</t>
  </si>
  <si>
    <t>Multinacional ABC</t>
  </si>
  <si>
    <t>Quais os principais problemas/desafios da persona?</t>
  </si>
  <si>
    <t>Quais os principais objetivos da persona?</t>
  </si>
  <si>
    <t>Atingir mais clientes</t>
  </si>
  <si>
    <t>Resolver a pendência financeira do cliente</t>
  </si>
  <si>
    <t>Atingir a meta de vendas da equipe</t>
  </si>
  <si>
    <t>Não conhece marketing digital</t>
  </si>
  <si>
    <t>Concretizar a negociação com o cliente</t>
  </si>
  <si>
    <t>Melhorar seus canais de vendas</t>
  </si>
  <si>
    <t>Onde a persona trabalha?
Informe a área de atuação da persona</t>
  </si>
  <si>
    <r>
      <rPr>
        <b/>
        <sz val="11"/>
        <color theme="0"/>
        <rFont val="Calibri"/>
        <family val="2"/>
        <scheme val="minor"/>
      </rPr>
      <t>Avaliação da Persona</t>
    </r>
    <r>
      <rPr>
        <b/>
        <sz val="11"/>
        <color theme="7"/>
        <rFont val="Calibri"/>
        <family val="2"/>
        <scheme val="minor"/>
      </rPr>
      <t xml:space="preserve">
Insira como sua empresa pode ajudar a persona cadastrada</t>
    </r>
  </si>
  <si>
    <t>Como sua empresa pode ajudar a persona nos objetivos e problemas/desafios?</t>
  </si>
  <si>
    <t>Fazendo treinamentos e consultorias de marketing digital.</t>
  </si>
  <si>
    <t>Desenvolver canais de comunicação com cliente.</t>
  </si>
  <si>
    <t>Desenvolver canais de vendas para facilitar o acesso do cliente final aos produtos disponibilizados.</t>
  </si>
  <si>
    <r>
      <rPr>
        <b/>
        <sz val="11"/>
        <color theme="0"/>
        <rFont val="Calibri"/>
        <family val="2"/>
        <scheme val="minor"/>
      </rPr>
      <t>Foto da Persona</t>
    </r>
    <r>
      <rPr>
        <b/>
        <sz val="11"/>
        <color theme="7"/>
        <rFont val="Calibri"/>
        <family val="2"/>
        <scheme val="minor"/>
      </rPr>
      <t xml:space="preserve">
Insira uma foto que melhor represente a persona cadastrada</t>
    </r>
  </si>
  <si>
    <t>Selecione a persona desejada:</t>
  </si>
  <si>
    <t>Empresa:</t>
  </si>
  <si>
    <t>Desafios:</t>
  </si>
  <si>
    <t>Foto01</t>
  </si>
  <si>
    <t>Foto02</t>
  </si>
  <si>
    <t>Foto03</t>
  </si>
  <si>
    <t>Foto04</t>
  </si>
  <si>
    <t>Foto05</t>
  </si>
  <si>
    <t>Foto06</t>
  </si>
  <si>
    <t>Foto07</t>
  </si>
  <si>
    <t>Foto08</t>
  </si>
  <si>
    <t>Foto09</t>
  </si>
  <si>
    <t>Foto10</t>
  </si>
  <si>
    <t>Foto11</t>
  </si>
  <si>
    <t>Foto12</t>
  </si>
  <si>
    <t>Foto13</t>
  </si>
  <si>
    <t>Foto14</t>
  </si>
  <si>
    <t>Foto15</t>
  </si>
  <si>
    <t>Insira a foto referente a persona</t>
  </si>
  <si>
    <t>Ensino Médio</t>
  </si>
  <si>
    <t>Doutorado</t>
  </si>
  <si>
    <r>
      <rPr>
        <b/>
        <sz val="11"/>
        <color theme="0"/>
        <rFont val="Calibri"/>
        <family val="2"/>
        <scheme val="minor"/>
      </rPr>
      <t>Objetivos da Persona</t>
    </r>
    <r>
      <rPr>
        <b/>
        <sz val="11"/>
        <color theme="7"/>
        <rFont val="Calibri"/>
        <family val="2"/>
        <scheme val="minor"/>
      </rPr>
      <t xml:space="preserve">
Insira os principais objetivos e principais problemas/desafios referente às personas cadastradas.</t>
    </r>
  </si>
  <si>
    <t>Pedro, o Jornalista</t>
  </si>
  <si>
    <t>Administradora</t>
  </si>
  <si>
    <t>Comunicativo</t>
  </si>
  <si>
    <t xml:space="preserve">Sebrae </t>
  </si>
  <si>
    <t>BA</t>
  </si>
  <si>
    <t>Telegram</t>
  </si>
  <si>
    <t>Presença digital</t>
  </si>
  <si>
    <t>Vender mais</t>
  </si>
  <si>
    <t>Baixa vendas</t>
  </si>
  <si>
    <t>Falta de clientes</t>
  </si>
  <si>
    <t>teste 1</t>
  </si>
  <si>
    <t>teste 2</t>
  </si>
  <si>
    <t>Adriana, A administradora</t>
  </si>
  <si>
    <t>ANOS</t>
  </si>
  <si>
    <t>Objetivo:</t>
  </si>
  <si>
    <t>Como sua empresa pode ajudar a persona atingir os objetivos e enfrentar os desafios:</t>
  </si>
  <si>
    <t>Facebook</t>
  </si>
  <si>
    <t>Instagram</t>
  </si>
  <si>
    <t>Whatsapp</t>
  </si>
  <si>
    <t>E-mail</t>
  </si>
  <si>
    <t>SMS</t>
  </si>
  <si>
    <t>Twitter</t>
  </si>
  <si>
    <t>Outros</t>
  </si>
  <si>
    <t>Ligação</t>
  </si>
  <si>
    <t>Numa escala de 0 a 10, indique os meios de comunicação utilizados pela persona, onde 0 é não utilizado e 10 é muito utilizado.</t>
  </si>
  <si>
    <t>Competitivo</t>
  </si>
  <si>
    <t>Inovador</t>
  </si>
  <si>
    <t>Proativo</t>
  </si>
  <si>
    <t>Exigente</t>
  </si>
  <si>
    <t>Comprometido</t>
  </si>
  <si>
    <t>Organizado</t>
  </si>
  <si>
    <t>Líder</t>
  </si>
  <si>
    <t>Numa escala de 0 a 10, indique os perfis que mais representa a persona, onde 0 não representa e 10 é a representação máxima.</t>
  </si>
  <si>
    <t>Geral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</si>
</sst>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6" x14ac:knownFonts="1">
    <font>
      <sz val="11"/>
      <color theme="1"/>
      <name val="Calibri"/>
      <family val="2"/>
      <scheme val="minor"/>
    </font>
    <font>
      <b/>
      <sz val="14"/>
      <color theme="5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8"/>
      <color theme="8" tint="-0.499984740745262"/>
      <name val="Calibri"/>
      <family val="2"/>
      <scheme val="minor"/>
    </font>
    <font>
      <sz val="16"/>
      <color theme="0" tint="-0.499984740745262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48"/>
      <color theme="8" tint="-0.499984740745262"/>
      <name val="Calibri"/>
      <family val="2"/>
      <scheme val="minor"/>
    </font>
    <font>
      <b/>
      <sz val="14"/>
      <color theme="8" tint="-0.499984740745262"/>
      <name val="Calibri"/>
      <family val="2"/>
      <scheme val="minor"/>
    </font>
    <font>
      <b/>
      <sz val="16"/>
      <color theme="8" tint="-0.499984740745262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ck">
        <color theme="8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2" borderId="0" xfId="0" applyFill="1"/>
    <xf numFmtId="0" fontId="0" fillId="0" borderId="0" xfId="0" applyFill="1"/>
    <xf numFmtId="0" fontId="1" fillId="0" borderId="0" xfId="0" applyFont="1" applyFill="1"/>
    <xf numFmtId="0" fontId="0" fillId="0" borderId="2" xfId="0" applyBorder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 vertical="center"/>
    </xf>
    <xf numFmtId="0" fontId="6" fillId="3" borderId="1" xfId="0" applyFont="1" applyFill="1" applyBorder="1" applyAlignment="1">
      <alignment vertical="center" wrapText="1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center"/>
    </xf>
    <xf numFmtId="0" fontId="0" fillId="0" borderId="2" xfId="0" applyBorder="1"/>
    <xf numFmtId="0" fontId="0" fillId="5" borderId="2" xfId="0" applyFill="1" applyBorder="1"/>
    <xf numFmtId="0" fontId="0" fillId="5" borderId="2" xfId="0" applyFill="1" applyBorder="1" applyAlignment="1">
      <alignment vertical="center"/>
    </xf>
    <xf numFmtId="0" fontId="8" fillId="0" borderId="0" xfId="0" applyFont="1"/>
    <xf numFmtId="0" fontId="3" fillId="0" borderId="0" xfId="0" applyFont="1"/>
    <xf numFmtId="0" fontId="7" fillId="0" borderId="0" xfId="0" applyFont="1"/>
    <xf numFmtId="0" fontId="0" fillId="0" borderId="0" xfId="0" applyAlignment="1">
      <alignment vertical="top"/>
    </xf>
    <xf numFmtId="0" fontId="0" fillId="0" borderId="0" xfId="0" applyAlignment="1"/>
    <xf numFmtId="0" fontId="3" fillId="4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6" borderId="0" xfId="0" applyFill="1" applyBorder="1" applyAlignment="1"/>
    <xf numFmtId="0" fontId="9" fillId="6" borderId="0" xfId="0" applyFont="1" applyFill="1" applyBorder="1" applyAlignment="1"/>
    <xf numFmtId="0" fontId="0" fillId="6" borderId="0" xfId="0" applyFill="1" applyBorder="1"/>
    <xf numFmtId="0" fontId="0" fillId="6" borderId="0" xfId="0" applyFill="1" applyAlignment="1"/>
    <xf numFmtId="0" fontId="0" fillId="6" borderId="0" xfId="0" applyFill="1"/>
    <xf numFmtId="0" fontId="9" fillId="6" borderId="0" xfId="0" applyFont="1" applyFill="1" applyAlignment="1"/>
    <xf numFmtId="0" fontId="10" fillId="6" borderId="0" xfId="0" applyFont="1" applyFill="1" applyAlignment="1"/>
    <xf numFmtId="0" fontId="10" fillId="3" borderId="0" xfId="0" applyFont="1" applyFill="1" applyAlignment="1"/>
    <xf numFmtId="0" fontId="0" fillId="3" borderId="0" xfId="0" applyFill="1" applyAlignment="1"/>
    <xf numFmtId="0" fontId="0" fillId="0" borderId="0" xfId="0" applyAlignment="1">
      <alignment vertical="top" wrapText="1"/>
    </xf>
    <xf numFmtId="0" fontId="0" fillId="6" borderId="0" xfId="0" applyFill="1" applyAlignment="1">
      <alignment vertical="top" wrapText="1"/>
    </xf>
    <xf numFmtId="0" fontId="3" fillId="6" borderId="0" xfId="0" applyFont="1" applyFill="1"/>
    <xf numFmtId="0" fontId="0" fillId="6" borderId="0" xfId="0" applyFill="1" applyAlignment="1">
      <alignment horizontal="center"/>
    </xf>
    <xf numFmtId="0" fontId="15" fillId="6" borderId="0" xfId="0" applyFont="1" applyFill="1"/>
    <xf numFmtId="0" fontId="3" fillId="0" borderId="0" xfId="0" applyFont="1" applyFill="1"/>
    <xf numFmtId="0" fontId="6" fillId="3" borderId="3" xfId="0" applyFont="1" applyFill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11" fillId="3" borderId="0" xfId="0" applyFont="1" applyFill="1" applyAlignment="1">
      <alignment horizontal="right" vertical="center"/>
    </xf>
    <xf numFmtId="0" fontId="14" fillId="6" borderId="0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wrapText="1"/>
    </xf>
    <xf numFmtId="0" fontId="6" fillId="3" borderId="3" xfId="0" applyFont="1" applyFill="1" applyBorder="1" applyAlignment="1">
      <alignment horizontal="left" vertical="center" wrapText="1"/>
    </xf>
    <xf numFmtId="0" fontId="6" fillId="3" borderId="4" xfId="0" applyFont="1" applyFill="1" applyBorder="1" applyAlignment="1">
      <alignment horizontal="left" vertical="center" wrapText="1"/>
    </xf>
    <xf numFmtId="0" fontId="14" fillId="6" borderId="0" xfId="0" applyFont="1" applyFill="1" applyBorder="1" applyAlignment="1">
      <alignment horizontal="left" shrinkToFit="1"/>
    </xf>
    <xf numFmtId="0" fontId="14" fillId="6" borderId="5" xfId="0" applyFont="1" applyFill="1" applyBorder="1" applyAlignment="1">
      <alignment horizontal="left" shrinkToFit="1"/>
    </xf>
    <xf numFmtId="0" fontId="14" fillId="6" borderId="0" xfId="0" applyFont="1" applyFill="1" applyBorder="1" applyAlignment="1">
      <alignment horizontal="left"/>
    </xf>
    <xf numFmtId="0" fontId="14" fillId="6" borderId="5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11" fillId="3" borderId="0" xfId="0" applyFont="1" applyFill="1" applyBorder="1" applyAlignment="1">
      <alignment horizontal="left" vertical="center" indent="2"/>
    </xf>
    <xf numFmtId="0" fontId="12" fillId="6" borderId="0" xfId="0" applyFont="1" applyFill="1" applyAlignment="1">
      <alignment horizontal="center"/>
    </xf>
    <xf numFmtId="0" fontId="13" fillId="6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right" vertical="center"/>
    </xf>
  </cellXfs>
  <cellStyles count="1">
    <cellStyle name="Normal" xfId="0" builtinId="0"/>
  </cellStyles>
  <dxfs count="2">
    <dxf>
      <font>
        <color rgb="FFFF33CC"/>
      </font>
    </dxf>
    <dxf>
      <fill>
        <patternFill>
          <bgColor rgb="FFFF33CC"/>
        </patternFill>
      </fill>
    </dxf>
  </dxfs>
  <tableStyles count="0" defaultTableStyle="TableStyleMedium2" defaultPivotStyle="PivotStyleLight16"/>
  <colors>
    <mruColors>
      <color rgb="FFFF33CC"/>
      <color rgb="FFFF3399"/>
      <color rgb="FFE4F2F4"/>
      <color rgb="FFFF0000"/>
      <color rgb="FFE5F5FF"/>
      <color rgb="FFCCECFF"/>
      <color rgb="FFE7FFFF"/>
      <color rgb="FFCCFFFF"/>
      <color rgb="FFFF9900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33CC"/>
            </a:solidFill>
            <a:ln>
              <a:noFill/>
            </a:ln>
            <a:effectLst/>
          </c:spPr>
          <c:invertIfNegative val="0"/>
          <c:cat>
            <c:strRef>
              <c:f>Aux!$A$6:$A$10</c:f>
              <c:strCache>
                <c:ptCount val="5"/>
                <c:pt idx="0">
                  <c:v>Ensino Médio</c:v>
                </c:pt>
                <c:pt idx="1">
                  <c:v>Ensino Superior</c:v>
                </c:pt>
                <c:pt idx="2">
                  <c:v>Pós Graduado</c:v>
                </c:pt>
                <c:pt idx="3">
                  <c:v>Mestrado</c:v>
                </c:pt>
                <c:pt idx="4">
                  <c:v>Doutorado</c:v>
                </c:pt>
              </c:strCache>
            </c:strRef>
          </c:cat>
          <c:val>
            <c:numRef>
              <c:f>Aux!$B$6:$B$10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06-4306-A4E5-4DD5C8E745F4}"/>
            </c:ext>
          </c:extLst>
        </c:ser>
        <c:ser>
          <c:idx val="1"/>
          <c:order val="1"/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Aux!$C$6:$C$10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E06-4306-A4E5-4DD5C8E745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06447215"/>
        <c:axId val="506444303"/>
      </c:barChart>
      <c:catAx>
        <c:axId val="506447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06444303"/>
        <c:crosses val="autoZero"/>
        <c:auto val="1"/>
        <c:lblAlgn val="ctr"/>
        <c:lblOffset val="100"/>
        <c:noMultiLvlLbl val="0"/>
      </c:catAx>
      <c:valAx>
        <c:axId val="50644430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064472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Aux!$A$13:$A$21</c:f>
              <c:strCache>
                <c:ptCount val="9"/>
                <c:pt idx="0">
                  <c:v>Facebook</c:v>
                </c:pt>
                <c:pt idx="1">
                  <c:v>Instagram</c:v>
                </c:pt>
                <c:pt idx="2">
                  <c:v>Whatsapp</c:v>
                </c:pt>
                <c:pt idx="3">
                  <c:v>E-mail</c:v>
                </c:pt>
                <c:pt idx="4">
                  <c:v>SMS</c:v>
                </c:pt>
                <c:pt idx="5">
                  <c:v>Telegram</c:v>
                </c:pt>
                <c:pt idx="6">
                  <c:v>Twitter</c:v>
                </c:pt>
                <c:pt idx="7">
                  <c:v>Ligação</c:v>
                </c:pt>
                <c:pt idx="8">
                  <c:v>Outros</c:v>
                </c:pt>
              </c:strCache>
            </c:strRef>
          </c:cat>
          <c:val>
            <c:numRef>
              <c:f>Aux!$B$13:$B$21</c:f>
              <c:numCache>
                <c:formatCode>General</c:formatCode>
                <c:ptCount val="9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10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73-4FF9-80F4-7FBDC72B7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527951"/>
        <c:axId val="922530863"/>
      </c:barChart>
      <c:catAx>
        <c:axId val="9225279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2530863"/>
        <c:crosses val="autoZero"/>
        <c:auto val="1"/>
        <c:lblAlgn val="ctr"/>
        <c:lblOffset val="100"/>
        <c:noMultiLvlLbl val="0"/>
      </c:catAx>
      <c:valAx>
        <c:axId val="922530863"/>
        <c:scaling>
          <c:orientation val="minMax"/>
          <c:max val="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25279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Aux!$A$23:$A$30</c:f>
              <c:strCache>
                <c:ptCount val="8"/>
                <c:pt idx="0">
                  <c:v>Competitivo</c:v>
                </c:pt>
                <c:pt idx="1">
                  <c:v>Inovador</c:v>
                </c:pt>
                <c:pt idx="2">
                  <c:v>Proativo</c:v>
                </c:pt>
                <c:pt idx="3">
                  <c:v>Exigente</c:v>
                </c:pt>
                <c:pt idx="4">
                  <c:v>Comprometido</c:v>
                </c:pt>
                <c:pt idx="5">
                  <c:v>Organizado</c:v>
                </c:pt>
                <c:pt idx="6">
                  <c:v>Empreendedor</c:v>
                </c:pt>
                <c:pt idx="7">
                  <c:v>Líder</c:v>
                </c:pt>
              </c:strCache>
            </c:strRef>
          </c:cat>
          <c:val>
            <c:numRef>
              <c:f>Aux!$B$23:$B$30</c:f>
              <c:numCache>
                <c:formatCode>General</c:formatCode>
                <c:ptCount val="8"/>
                <c:pt idx="0">
                  <c:v>5</c:v>
                </c:pt>
                <c:pt idx="1">
                  <c:v>10</c:v>
                </c:pt>
                <c:pt idx="2">
                  <c:v>10</c:v>
                </c:pt>
                <c:pt idx="3">
                  <c:v>5</c:v>
                </c:pt>
                <c:pt idx="4">
                  <c:v>10</c:v>
                </c:pt>
                <c:pt idx="5">
                  <c:v>5</c:v>
                </c:pt>
                <c:pt idx="6">
                  <c:v>5</c:v>
                </c:pt>
                <c:pt idx="7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F1-4C54-9A07-2A4F0ADB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527951"/>
        <c:axId val="922530863"/>
      </c:barChart>
      <c:catAx>
        <c:axId val="9225279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2530863"/>
        <c:crosses val="autoZero"/>
        <c:auto val="1"/>
        <c:lblAlgn val="ctr"/>
        <c:lblOffset val="100"/>
        <c:noMultiLvlLbl val="0"/>
      </c:catAx>
      <c:valAx>
        <c:axId val="922530863"/>
        <c:scaling>
          <c:orientation val="minMax"/>
          <c:max val="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25279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Gênero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spPr>
            <a:solidFill>
              <a:schemeClr val="accent4"/>
            </a:solidFill>
          </c:spPr>
          <c:dPt>
            <c:idx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C50B-457A-8D77-183AB7BFFEC7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50B-457A-8D77-183AB7BFFEC7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5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C50B-457A-8D77-183AB7BFFEC7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C50B-457A-8D77-183AB7BFFE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Dash!$B$61:$B$62</c:f>
              <c:strCache>
                <c:ptCount val="2"/>
                <c:pt idx="0">
                  <c:v>Masculino</c:v>
                </c:pt>
                <c:pt idx="1">
                  <c:v>Feminino</c:v>
                </c:pt>
              </c:strCache>
            </c:strRef>
          </c:cat>
          <c:val>
            <c:numRef>
              <c:f>Dash!$C$61:$C$62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0B-457A-8D77-183AB7BFF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4F2F4"/>
    </a:soli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Escolaridade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C0EA-4441-A99E-1F5C51BF793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0EA-4441-A99E-1F5C51BF793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C0EA-4441-A99E-1F5C51BF793D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0EA-4441-A99E-1F5C51BF793D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C0EA-4441-A99E-1F5C51BF793D}"/>
              </c:ext>
            </c:extLst>
          </c:dPt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Dash!$E$61:$E$65</c:f>
              <c:strCache>
                <c:ptCount val="5"/>
                <c:pt idx="0">
                  <c:v>Ensino Médio</c:v>
                </c:pt>
                <c:pt idx="1">
                  <c:v>Ensino Superior</c:v>
                </c:pt>
                <c:pt idx="2">
                  <c:v>Pós Graduado</c:v>
                </c:pt>
                <c:pt idx="3">
                  <c:v>Mestrado</c:v>
                </c:pt>
                <c:pt idx="4">
                  <c:v>Doutorado</c:v>
                </c:pt>
              </c:strCache>
            </c:strRef>
          </c:cat>
          <c:val>
            <c:numRef>
              <c:f>Dash!$F$61:$F$65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EA-4441-A99E-1F5C51BF7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20921736"/>
        <c:axId val="420919440"/>
      </c:barChart>
      <c:catAx>
        <c:axId val="420921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0919440"/>
        <c:crosses val="autoZero"/>
        <c:auto val="1"/>
        <c:lblAlgn val="ctr"/>
        <c:lblOffset val="100"/>
        <c:noMultiLvlLbl val="0"/>
      </c:catAx>
      <c:valAx>
        <c:axId val="42091944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20921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4F2F4"/>
    </a:soli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Perfil Geral das Personas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Aux!$A$23:$A$30</c:f>
              <c:strCache>
                <c:ptCount val="8"/>
                <c:pt idx="0">
                  <c:v>Competitivo</c:v>
                </c:pt>
                <c:pt idx="1">
                  <c:v>Inovador</c:v>
                </c:pt>
                <c:pt idx="2">
                  <c:v>Proativo</c:v>
                </c:pt>
                <c:pt idx="3">
                  <c:v>Exigente</c:v>
                </c:pt>
                <c:pt idx="4">
                  <c:v>Comprometido</c:v>
                </c:pt>
                <c:pt idx="5">
                  <c:v>Organizado</c:v>
                </c:pt>
                <c:pt idx="6">
                  <c:v>Empreendedor</c:v>
                </c:pt>
                <c:pt idx="7">
                  <c:v>Líder</c:v>
                </c:pt>
              </c:strCache>
            </c:strRef>
          </c:cat>
          <c:val>
            <c:numRef>
              <c:f>Aux!$C$23:$C$30</c:f>
              <c:numCache>
                <c:formatCode>General</c:formatCode>
                <c:ptCount val="8"/>
                <c:pt idx="0">
                  <c:v>35</c:v>
                </c:pt>
                <c:pt idx="1">
                  <c:v>40</c:v>
                </c:pt>
                <c:pt idx="2">
                  <c:v>30</c:v>
                </c:pt>
                <c:pt idx="3">
                  <c:v>40</c:v>
                </c:pt>
                <c:pt idx="4">
                  <c:v>35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752-4538-8CAE-11047E302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20921736"/>
        <c:axId val="420919440"/>
      </c:barChart>
      <c:catAx>
        <c:axId val="420921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0919440"/>
        <c:crosses val="autoZero"/>
        <c:auto val="1"/>
        <c:lblAlgn val="ctr"/>
        <c:lblOffset val="100"/>
        <c:noMultiLvlLbl val="0"/>
      </c:catAx>
      <c:valAx>
        <c:axId val="42091944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20921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4F2F4"/>
    </a:soli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Mídias</a:t>
            </a:r>
            <a:r>
              <a:rPr lang="pt-BR" baseline="0"/>
              <a:t> </a:t>
            </a:r>
            <a:r>
              <a:rPr lang="pt-BR"/>
              <a:t>Sociais Utilizadas</a:t>
            </a:r>
            <a:r>
              <a:rPr lang="pt-BR" baseline="0"/>
              <a:t> pelas Personas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Aux!$A$13:$A$21</c:f>
              <c:strCache>
                <c:ptCount val="9"/>
                <c:pt idx="0">
                  <c:v>Facebook</c:v>
                </c:pt>
                <c:pt idx="1">
                  <c:v>Instagram</c:v>
                </c:pt>
                <c:pt idx="2">
                  <c:v>Whatsapp</c:v>
                </c:pt>
                <c:pt idx="3">
                  <c:v>E-mail</c:v>
                </c:pt>
                <c:pt idx="4">
                  <c:v>SMS</c:v>
                </c:pt>
                <c:pt idx="5">
                  <c:v>Telegram</c:v>
                </c:pt>
                <c:pt idx="6">
                  <c:v>Twitter</c:v>
                </c:pt>
                <c:pt idx="7">
                  <c:v>Ligação</c:v>
                </c:pt>
                <c:pt idx="8">
                  <c:v>Outros</c:v>
                </c:pt>
              </c:strCache>
            </c:strRef>
          </c:cat>
          <c:val>
            <c:numRef>
              <c:f>Aux!$C$13:$C$21</c:f>
              <c:numCache>
                <c:formatCode>General</c:formatCode>
                <c:ptCount val="9"/>
                <c:pt idx="0">
                  <c:v>33</c:v>
                </c:pt>
                <c:pt idx="1">
                  <c:v>30</c:v>
                </c:pt>
                <c:pt idx="2">
                  <c:v>35</c:v>
                </c:pt>
                <c:pt idx="3">
                  <c:v>32</c:v>
                </c:pt>
                <c:pt idx="4">
                  <c:v>5</c:v>
                </c:pt>
                <c:pt idx="5">
                  <c:v>1</c:v>
                </c:pt>
                <c:pt idx="6">
                  <c:v>2</c:v>
                </c:pt>
                <c:pt idx="7">
                  <c:v>20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797-49FA-9AAF-000D76904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20921736"/>
        <c:axId val="420919440"/>
      </c:barChart>
      <c:catAx>
        <c:axId val="420921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0919440"/>
        <c:crosses val="autoZero"/>
        <c:auto val="1"/>
        <c:lblAlgn val="ctr"/>
        <c:lblOffset val="100"/>
        <c:noMultiLvlLbl val="0"/>
      </c:catAx>
      <c:valAx>
        <c:axId val="42091944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20921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4F2F4"/>
    </a:soli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CADASTRO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hyperlink" Target="#Instru&#231;&#245;es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FICHA!A1"/><Relationship Id="rId3" Type="http://schemas.openxmlformats.org/officeDocument/2006/relationships/hyperlink" Target="#AVALIA&#199;&#195;O!A1"/><Relationship Id="rId7" Type="http://schemas.openxmlformats.org/officeDocument/2006/relationships/hyperlink" Target="#FOTO!A1"/><Relationship Id="rId2" Type="http://schemas.openxmlformats.org/officeDocument/2006/relationships/image" Target="../media/image1.png"/><Relationship Id="rId1" Type="http://schemas.openxmlformats.org/officeDocument/2006/relationships/hyperlink" Target="#Menu!A1"/><Relationship Id="rId6" Type="http://schemas.openxmlformats.org/officeDocument/2006/relationships/hyperlink" Target="#OBJETIVOS!A1"/><Relationship Id="rId5" Type="http://schemas.openxmlformats.org/officeDocument/2006/relationships/hyperlink" Target="#INFORMA&#199;&#213;ES!A1"/><Relationship Id="rId4" Type="http://schemas.openxmlformats.org/officeDocument/2006/relationships/hyperlink" Target="#CADASTRO!A1"/><Relationship Id="rId9" Type="http://schemas.openxmlformats.org/officeDocument/2006/relationships/hyperlink" Target="#Dash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FICHA!A1"/><Relationship Id="rId3" Type="http://schemas.openxmlformats.org/officeDocument/2006/relationships/hyperlink" Target="#AVALIA&#199;&#195;O!A1"/><Relationship Id="rId7" Type="http://schemas.openxmlformats.org/officeDocument/2006/relationships/hyperlink" Target="#FOTO!A1"/><Relationship Id="rId2" Type="http://schemas.openxmlformats.org/officeDocument/2006/relationships/image" Target="../media/image1.png"/><Relationship Id="rId1" Type="http://schemas.openxmlformats.org/officeDocument/2006/relationships/hyperlink" Target="#Menu!A1"/><Relationship Id="rId6" Type="http://schemas.openxmlformats.org/officeDocument/2006/relationships/hyperlink" Target="#OBJETIVOS!A1"/><Relationship Id="rId5" Type="http://schemas.openxmlformats.org/officeDocument/2006/relationships/hyperlink" Target="#INFORMA&#199;&#213;ES!A1"/><Relationship Id="rId4" Type="http://schemas.openxmlformats.org/officeDocument/2006/relationships/hyperlink" Target="#CADASTRO!A1"/><Relationship Id="rId9" Type="http://schemas.openxmlformats.org/officeDocument/2006/relationships/hyperlink" Target="#Dash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FICHA!A1"/><Relationship Id="rId3" Type="http://schemas.openxmlformats.org/officeDocument/2006/relationships/hyperlink" Target="#AVALIA&#199;&#195;O!A1"/><Relationship Id="rId7" Type="http://schemas.openxmlformats.org/officeDocument/2006/relationships/hyperlink" Target="#FOTO!A1"/><Relationship Id="rId2" Type="http://schemas.openxmlformats.org/officeDocument/2006/relationships/image" Target="../media/image1.png"/><Relationship Id="rId1" Type="http://schemas.openxmlformats.org/officeDocument/2006/relationships/hyperlink" Target="#Menu!A1"/><Relationship Id="rId6" Type="http://schemas.openxmlformats.org/officeDocument/2006/relationships/hyperlink" Target="#OBJETIVOS!A1"/><Relationship Id="rId5" Type="http://schemas.openxmlformats.org/officeDocument/2006/relationships/hyperlink" Target="#INFORMA&#199;&#213;ES!A1"/><Relationship Id="rId4" Type="http://schemas.openxmlformats.org/officeDocument/2006/relationships/hyperlink" Target="#CADASTRO!A1"/><Relationship Id="rId9" Type="http://schemas.openxmlformats.org/officeDocument/2006/relationships/hyperlink" Target="#Dash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FICHA!A1"/><Relationship Id="rId3" Type="http://schemas.openxmlformats.org/officeDocument/2006/relationships/hyperlink" Target="#AVALIA&#199;&#195;O!A1"/><Relationship Id="rId7" Type="http://schemas.openxmlformats.org/officeDocument/2006/relationships/hyperlink" Target="#FOTO!A1"/><Relationship Id="rId2" Type="http://schemas.openxmlformats.org/officeDocument/2006/relationships/image" Target="../media/image1.png"/><Relationship Id="rId1" Type="http://schemas.openxmlformats.org/officeDocument/2006/relationships/hyperlink" Target="#Menu!A1"/><Relationship Id="rId6" Type="http://schemas.openxmlformats.org/officeDocument/2006/relationships/hyperlink" Target="#OBJETIVOS!A1"/><Relationship Id="rId5" Type="http://schemas.openxmlformats.org/officeDocument/2006/relationships/hyperlink" Target="#INFORMA&#199;&#213;ES!A1"/><Relationship Id="rId4" Type="http://schemas.openxmlformats.org/officeDocument/2006/relationships/hyperlink" Target="#CADASTRO!A1"/><Relationship Id="rId9" Type="http://schemas.openxmlformats.org/officeDocument/2006/relationships/hyperlink" Target="#Dash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INFORMA&#199;&#213;ES!A1"/><Relationship Id="rId13" Type="http://schemas.openxmlformats.org/officeDocument/2006/relationships/image" Target="../media/image8.png"/><Relationship Id="rId3" Type="http://schemas.openxmlformats.org/officeDocument/2006/relationships/image" Target="../media/image5.png"/><Relationship Id="rId7" Type="http://schemas.openxmlformats.org/officeDocument/2006/relationships/hyperlink" Target="#CADASTRO!A1"/><Relationship Id="rId12" Type="http://schemas.openxmlformats.org/officeDocument/2006/relationships/hyperlink" Target="#Dash!A1"/><Relationship Id="rId2" Type="http://schemas.openxmlformats.org/officeDocument/2006/relationships/image" Target="../media/image1.png"/><Relationship Id="rId1" Type="http://schemas.openxmlformats.org/officeDocument/2006/relationships/hyperlink" Target="#Menu!A1"/><Relationship Id="rId6" Type="http://schemas.openxmlformats.org/officeDocument/2006/relationships/hyperlink" Target="#AVALIA&#199;&#195;O!A1"/><Relationship Id="rId11" Type="http://schemas.openxmlformats.org/officeDocument/2006/relationships/hyperlink" Target="#FICHA!A1"/><Relationship Id="rId5" Type="http://schemas.openxmlformats.org/officeDocument/2006/relationships/image" Target="../media/image7.png"/><Relationship Id="rId10" Type="http://schemas.openxmlformats.org/officeDocument/2006/relationships/hyperlink" Target="#FOTO!A1"/><Relationship Id="rId4" Type="http://schemas.openxmlformats.org/officeDocument/2006/relationships/image" Target="../media/image6.png"/><Relationship Id="rId9" Type="http://schemas.openxmlformats.org/officeDocument/2006/relationships/hyperlink" Target="#OBJETIVOS!A1"/><Relationship Id="rId14" Type="http://schemas.microsoft.com/office/2007/relationships/hdphoto" Target="../media/hdphoto1.wdp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FOTO!A1"/><Relationship Id="rId13" Type="http://schemas.openxmlformats.org/officeDocument/2006/relationships/image" Target="../media/image11.png"/><Relationship Id="rId18" Type="http://schemas.openxmlformats.org/officeDocument/2006/relationships/image" Target="../media/image16.svg"/><Relationship Id="rId3" Type="http://schemas.openxmlformats.org/officeDocument/2006/relationships/image" Target="../media/image9.emf"/><Relationship Id="rId21" Type="http://schemas.openxmlformats.org/officeDocument/2006/relationships/chart" Target="../charts/chart2.xml"/><Relationship Id="rId7" Type="http://schemas.openxmlformats.org/officeDocument/2006/relationships/hyperlink" Target="#OBJETIVOS!A1"/><Relationship Id="rId12" Type="http://schemas.openxmlformats.org/officeDocument/2006/relationships/chart" Target="../charts/chart1.xml"/><Relationship Id="rId17" Type="http://schemas.openxmlformats.org/officeDocument/2006/relationships/image" Target="../media/image15.png"/><Relationship Id="rId2" Type="http://schemas.openxmlformats.org/officeDocument/2006/relationships/image" Target="../media/image1.png"/><Relationship Id="rId16" Type="http://schemas.openxmlformats.org/officeDocument/2006/relationships/image" Target="../media/image14.svg"/><Relationship Id="rId20" Type="http://schemas.openxmlformats.org/officeDocument/2006/relationships/image" Target="../media/image18.svg"/><Relationship Id="rId1" Type="http://schemas.openxmlformats.org/officeDocument/2006/relationships/hyperlink" Target="#Menu!A1"/><Relationship Id="rId6" Type="http://schemas.openxmlformats.org/officeDocument/2006/relationships/hyperlink" Target="#INFORMA&#199;&#213;ES!A1"/><Relationship Id="rId11" Type="http://schemas.openxmlformats.org/officeDocument/2006/relationships/image" Target="../media/image10.emf"/><Relationship Id="rId5" Type="http://schemas.openxmlformats.org/officeDocument/2006/relationships/hyperlink" Target="#CADASTRO!A1"/><Relationship Id="rId15" Type="http://schemas.openxmlformats.org/officeDocument/2006/relationships/image" Target="../media/image13.png"/><Relationship Id="rId10" Type="http://schemas.openxmlformats.org/officeDocument/2006/relationships/hyperlink" Target="#Dash!A1"/><Relationship Id="rId19" Type="http://schemas.openxmlformats.org/officeDocument/2006/relationships/image" Target="../media/image17.png"/><Relationship Id="rId4" Type="http://schemas.openxmlformats.org/officeDocument/2006/relationships/hyperlink" Target="#AVALIA&#199;&#195;O!A1"/><Relationship Id="rId9" Type="http://schemas.openxmlformats.org/officeDocument/2006/relationships/hyperlink" Target="#FICHA!A1"/><Relationship Id="rId14" Type="http://schemas.openxmlformats.org/officeDocument/2006/relationships/image" Target="../media/image12.svg"/><Relationship Id="rId22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hyperlink" Target="#FOTO!A1"/><Relationship Id="rId3" Type="http://schemas.openxmlformats.org/officeDocument/2006/relationships/chart" Target="../charts/chart4.xml"/><Relationship Id="rId7" Type="http://schemas.openxmlformats.org/officeDocument/2006/relationships/image" Target="../media/image27.png"/><Relationship Id="rId12" Type="http://schemas.openxmlformats.org/officeDocument/2006/relationships/hyperlink" Target="#OBJETIVOS!A1"/><Relationship Id="rId17" Type="http://schemas.openxmlformats.org/officeDocument/2006/relationships/chart" Target="../charts/chart7.xml"/><Relationship Id="rId2" Type="http://schemas.openxmlformats.org/officeDocument/2006/relationships/hyperlink" Target="#Menu!A1"/><Relationship Id="rId16" Type="http://schemas.openxmlformats.org/officeDocument/2006/relationships/chart" Target="../charts/chart6.xml"/><Relationship Id="rId1" Type="http://schemas.openxmlformats.org/officeDocument/2006/relationships/image" Target="../media/image1.png"/><Relationship Id="rId6" Type="http://schemas.openxmlformats.org/officeDocument/2006/relationships/image" Target="../media/image26.svg"/><Relationship Id="rId11" Type="http://schemas.openxmlformats.org/officeDocument/2006/relationships/hyperlink" Target="#INFORMA&#199;&#213;ES!A1"/><Relationship Id="rId5" Type="http://schemas.openxmlformats.org/officeDocument/2006/relationships/image" Target="../media/image25.png"/><Relationship Id="rId15" Type="http://schemas.openxmlformats.org/officeDocument/2006/relationships/hyperlink" Target="#Dash!A1"/><Relationship Id="rId10" Type="http://schemas.openxmlformats.org/officeDocument/2006/relationships/hyperlink" Target="#CADASTRO!A1"/><Relationship Id="rId4" Type="http://schemas.openxmlformats.org/officeDocument/2006/relationships/chart" Target="../charts/chart5.xml"/><Relationship Id="rId9" Type="http://schemas.openxmlformats.org/officeDocument/2006/relationships/hyperlink" Target="#AVALIA&#199;&#195;O!A1"/><Relationship Id="rId14" Type="http://schemas.openxmlformats.org/officeDocument/2006/relationships/hyperlink" Target="#FICHA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image" Target="../media/image31.png"/><Relationship Id="rId7" Type="http://schemas.openxmlformats.org/officeDocument/2006/relationships/hyperlink" Target="#Menu!A1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6" Type="http://schemas.openxmlformats.org/officeDocument/2006/relationships/image" Target="../media/image34.emf"/><Relationship Id="rId11" Type="http://schemas.openxmlformats.org/officeDocument/2006/relationships/image" Target="../media/image36.png"/><Relationship Id="rId5" Type="http://schemas.openxmlformats.org/officeDocument/2006/relationships/image" Target="../media/image33.png"/><Relationship Id="rId10" Type="http://schemas.openxmlformats.org/officeDocument/2006/relationships/image" Target="../media/image35.png"/><Relationship Id="rId4" Type="http://schemas.openxmlformats.org/officeDocument/2006/relationships/image" Target="../media/image32.png"/><Relationship Id="rId9" Type="http://schemas.openxmlformats.org/officeDocument/2006/relationships/hyperlink" Target="#CADASTRO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129540</xdr:colOff>
      <xdr:row>0</xdr:row>
      <xdr:rowOff>0</xdr:rowOff>
    </xdr:from>
    <xdr:ext cx="4374727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902638DC-1D2C-4D70-9209-F3090CAE173E}"/>
            </a:ext>
          </a:extLst>
        </xdr:cNvPr>
        <xdr:cNvSpPr txBox="1"/>
      </xdr:nvSpPr>
      <xdr:spPr>
        <a:xfrm>
          <a:off x="2567940" y="0"/>
          <a:ext cx="4374727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Gerador de Personas</a:t>
          </a:r>
        </a:p>
      </xdr:txBody>
    </xdr:sp>
    <xdr:clientData/>
  </xdr:oneCellAnchor>
  <xdr:twoCellAnchor editAs="absolute">
    <xdr:from>
      <xdr:col>0</xdr:col>
      <xdr:colOff>320040</xdr:colOff>
      <xdr:row>0</xdr:row>
      <xdr:rowOff>0</xdr:rowOff>
    </xdr:from>
    <xdr:to>
      <xdr:col>3</xdr:col>
      <xdr:colOff>444241</xdr:colOff>
      <xdr:row>3</xdr:row>
      <xdr:rowOff>9360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75E4FC4-73BE-4213-8913-6C15B9C7FC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137160</xdr:colOff>
      <xdr:row>8</xdr:row>
      <xdr:rowOff>110490</xdr:rowOff>
    </xdr:from>
    <xdr:to>
      <xdr:col>6</xdr:col>
      <xdr:colOff>249960</xdr:colOff>
      <xdr:row>10</xdr:row>
      <xdr:rowOff>9290</xdr:rowOff>
    </xdr:to>
    <xdr:sp macro="" textlink="">
      <xdr:nvSpPr>
        <xdr:cNvPr id="8" name="CaixaDeText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86A253-4262-4AAF-B68D-515480C67A72}"/>
            </a:ext>
          </a:extLst>
        </xdr:cNvPr>
        <xdr:cNvSpPr txBox="1"/>
      </xdr:nvSpPr>
      <xdr:spPr>
        <a:xfrm>
          <a:off x="2575560" y="86487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Acessar a Planilha</a:t>
          </a:r>
        </a:p>
      </xdr:txBody>
    </xdr:sp>
    <xdr:clientData/>
  </xdr:twoCellAnchor>
  <xdr:oneCellAnchor>
    <xdr:from>
      <xdr:col>4</xdr:col>
      <xdr:colOff>129540</xdr:colOff>
      <xdr:row>10</xdr:row>
      <xdr:rowOff>152400</xdr:rowOff>
    </xdr:from>
    <xdr:ext cx="10080000" cy="2377440"/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21B3FEE2-5CE5-4657-A083-75F09212D5AE}"/>
            </a:ext>
          </a:extLst>
        </xdr:cNvPr>
        <xdr:cNvSpPr txBox="1"/>
      </xdr:nvSpPr>
      <xdr:spPr>
        <a:xfrm>
          <a:off x="2491740" y="1295400"/>
          <a:ext cx="10080000" cy="2377440"/>
        </a:xfrm>
        <a:prstGeom prst="rect">
          <a:avLst/>
        </a:prstGeom>
        <a:solidFill>
          <a:srgbClr val="E4F2F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>
                <a:noFill/>
              </a:ln>
              <a:solidFill>
                <a:prstClr val="white">
                  <a:lumMod val="50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Criar a personificação do cliente ideal é primordial para produzir conteúdos, materiais, produtos e serviços e conseguir atrair o público que se deseja. Esta planilha permite o cadastro e definição de personas para o negócio, auxiliando o empreendedor na estruturação de estratégias para o empresário alcançar melhores resultados.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2000">
            <a:solidFill>
              <a:schemeClr val="accent5">
                <a:lumMod val="75000"/>
              </a:schemeClr>
            </a:solidFill>
          </a:endParaRPr>
        </a:p>
      </xdr:txBody>
    </xdr:sp>
    <xdr:clientData/>
  </xdr:oneCellAnchor>
  <xdr:twoCellAnchor editAs="oneCell">
    <xdr:from>
      <xdr:col>0</xdr:col>
      <xdr:colOff>0</xdr:colOff>
      <xdr:row>11</xdr:row>
      <xdr:rowOff>7620</xdr:rowOff>
    </xdr:from>
    <xdr:to>
      <xdr:col>4</xdr:col>
      <xdr:colOff>12456</xdr:colOff>
      <xdr:row>23</xdr:row>
      <xdr:rowOff>144779</xdr:rowOff>
    </xdr:to>
    <xdr:pic>
      <xdr:nvPicPr>
        <xdr:cNvPr id="11" name="Imagem 10" descr="Imagem relacionada">
          <a:extLst>
            <a:ext uri="{FF2B5EF4-FFF2-40B4-BE49-F238E27FC236}">
              <a16:creationId xmlns:a16="http://schemas.microsoft.com/office/drawing/2014/main" id="{5A844E38-CD9D-47DD-8A92-0839650792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10640"/>
          <a:ext cx="2450856" cy="23317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17</xdr:col>
      <xdr:colOff>480060</xdr:colOff>
      <xdr:row>25</xdr:row>
      <xdr:rowOff>144780</xdr:rowOff>
    </xdr:from>
    <xdr:ext cx="2141805" cy="264560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7B8F10D1-1AA1-47DF-A37C-589F77B3F177}"/>
            </a:ext>
          </a:extLst>
        </xdr:cNvPr>
        <xdr:cNvSpPr txBox="1"/>
      </xdr:nvSpPr>
      <xdr:spPr>
        <a:xfrm>
          <a:off x="10843260" y="4008120"/>
          <a:ext cx="214180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>
              <a:solidFill>
                <a:schemeClr val="bg1">
                  <a:lumMod val="65000"/>
                </a:schemeClr>
              </a:solidFill>
            </a:rPr>
            <a:t>Esta planilha foi desenvolvida</a:t>
          </a:r>
          <a:r>
            <a:rPr lang="pt-BR" sz="1100" baseline="0">
              <a:solidFill>
                <a:schemeClr val="bg1">
                  <a:lumMod val="65000"/>
                </a:schemeClr>
              </a:solidFill>
            </a:rPr>
            <a:t> por:</a:t>
          </a:r>
          <a:endParaRPr lang="pt-BR" sz="1100">
            <a:solidFill>
              <a:schemeClr val="bg1">
                <a:lumMod val="65000"/>
              </a:schemeClr>
            </a:solidFill>
          </a:endParaRPr>
        </a:p>
      </xdr:txBody>
    </xdr:sp>
    <xdr:clientData/>
  </xdr:oneCellAnchor>
  <xdr:twoCellAnchor editAs="absolute">
    <xdr:from>
      <xdr:col>17</xdr:col>
      <xdr:colOff>495300</xdr:colOff>
      <xdr:row>27</xdr:row>
      <xdr:rowOff>106680</xdr:rowOff>
    </xdr:from>
    <xdr:to>
      <xdr:col>21</xdr:col>
      <xdr:colOff>470180</xdr:colOff>
      <xdr:row>30</xdr:row>
      <xdr:rowOff>98040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67FBD533-52AE-4101-BD95-BAE7921EB82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583" b="11100"/>
        <a:stretch/>
      </xdr:blipFill>
      <xdr:spPr bwMode="auto">
        <a:xfrm>
          <a:off x="10858500" y="4335780"/>
          <a:ext cx="2413280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551997</xdr:colOff>
      <xdr:row>27</xdr:row>
      <xdr:rowOff>106680</xdr:rowOff>
    </xdr:from>
    <xdr:to>
      <xdr:col>9</xdr:col>
      <xdr:colOff>396467</xdr:colOff>
      <xdr:row>30</xdr:row>
      <xdr:rowOff>31241</xdr:rowOff>
    </xdr:to>
    <xdr:grpSp>
      <xdr:nvGrpSpPr>
        <xdr:cNvPr id="6" name="Agrupar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84703A2-06FC-42CA-80AC-71A51D239CFB}"/>
            </a:ext>
          </a:extLst>
        </xdr:cNvPr>
        <xdr:cNvGrpSpPr/>
      </xdr:nvGrpSpPr>
      <xdr:grpSpPr>
        <a:xfrm>
          <a:off x="4234997" y="4361180"/>
          <a:ext cx="1685970" cy="474894"/>
          <a:chOff x="2685597" y="4343400"/>
          <a:chExt cx="1673270" cy="473201"/>
        </a:xfrm>
      </xdr:grpSpPr>
      <xdr:sp macro="" textlink="">
        <xdr:nvSpPr>
          <xdr:cNvPr id="21" name="CaixaDeTexto 20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CB0FBE3-423B-4735-9675-F0C3351CED15}"/>
              </a:ext>
            </a:extLst>
          </xdr:cNvPr>
          <xdr:cNvSpPr txBox="1"/>
        </xdr:nvSpPr>
        <xdr:spPr>
          <a:xfrm>
            <a:off x="2956560" y="4442460"/>
            <a:ext cx="1402307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800" b="1">
                <a:solidFill>
                  <a:schemeClr val="accent5">
                    <a:lumMod val="75000"/>
                  </a:schemeClr>
                </a:solidFill>
              </a:rPr>
              <a:t>INSTRUÇÕES</a:t>
            </a:r>
          </a:p>
        </xdr:txBody>
      </xdr:sp>
      <xdr:pic>
        <xdr:nvPicPr>
          <xdr:cNvPr id="5" name="Imagem 4">
            <a:extLst>
              <a:ext uri="{FF2B5EF4-FFF2-40B4-BE49-F238E27FC236}">
                <a16:creationId xmlns:a16="http://schemas.microsoft.com/office/drawing/2014/main" id="{ED738C14-6F44-462D-A49F-A9664A8466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85597" y="4343400"/>
            <a:ext cx="324303" cy="38100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160020</xdr:colOff>
      <xdr:row>27</xdr:row>
      <xdr:rowOff>83820</xdr:rowOff>
    </xdr:from>
    <xdr:to>
      <xdr:col>6</xdr:col>
      <xdr:colOff>327661</xdr:colOff>
      <xdr:row>30</xdr:row>
      <xdr:rowOff>35623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2A509057-BFA3-4F39-B012-D7806A004D95}"/>
            </a:ext>
          </a:extLst>
        </xdr:cNvPr>
        <xdr:cNvGrpSpPr/>
      </xdr:nvGrpSpPr>
      <xdr:grpSpPr>
        <a:xfrm>
          <a:off x="2615353" y="4338320"/>
          <a:ext cx="1395308" cy="502136"/>
          <a:chOff x="2598420" y="4312920"/>
          <a:chExt cx="1386841" cy="500443"/>
        </a:xfrm>
      </xdr:grpSpPr>
      <xdr:pic>
        <xdr:nvPicPr>
          <xdr:cNvPr id="17" name="Imagem 16" descr="Play Red Button transparent PNG - StickPNG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27CA99D-E711-4541-BACC-74FBCDB1526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598420" y="4312920"/>
            <a:ext cx="487680" cy="423208"/>
          </a:xfrm>
          <a:prstGeom prst="rect">
            <a:avLst/>
          </a:prstGeom>
          <a:solidFill>
            <a:srgbClr val="FFFFFF"/>
          </a:solidFill>
        </xdr:spPr>
      </xdr:pic>
      <xdr:sp macro="" textlink="">
        <xdr:nvSpPr>
          <xdr:cNvPr id="18" name="CaixaDeTexto 1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FA7ECBE-7CA4-4AF3-ABA3-1E1066239CDC}"/>
              </a:ext>
            </a:extLst>
          </xdr:cNvPr>
          <xdr:cNvSpPr txBox="1"/>
        </xdr:nvSpPr>
        <xdr:spPr>
          <a:xfrm>
            <a:off x="3063241" y="4439222"/>
            <a:ext cx="92202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800" b="1">
                <a:solidFill>
                  <a:schemeClr val="accent5">
                    <a:lumMod val="75000"/>
                  </a:schemeClr>
                </a:solidFill>
              </a:rPr>
              <a:t>INICIAR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2415540</xdr:colOff>
      <xdr:row>0</xdr:row>
      <xdr:rowOff>0</xdr:rowOff>
    </xdr:from>
    <xdr:ext cx="632841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711C1EB7-F569-4824-B52F-417CCC31A433}"/>
            </a:ext>
          </a:extLst>
        </xdr:cNvPr>
        <xdr:cNvSpPr txBox="1"/>
      </xdr:nvSpPr>
      <xdr:spPr>
        <a:xfrm>
          <a:off x="2539365" y="0"/>
          <a:ext cx="632841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Gerador de Persona| </a:t>
          </a:r>
          <a:r>
            <a:rPr lang="pt-BR" sz="2400" b="1">
              <a:solidFill>
                <a:schemeClr val="accent2"/>
              </a:solidFill>
            </a:rPr>
            <a:t>Cadastro</a:t>
          </a:r>
        </a:p>
      </xdr:txBody>
    </xdr:sp>
    <xdr:clientData/>
  </xdr:oneCellAnchor>
  <xdr:twoCellAnchor editAs="absolute">
    <xdr:from>
      <xdr:col>1</xdr:col>
      <xdr:colOff>205740</xdr:colOff>
      <xdr:row>0</xdr:row>
      <xdr:rowOff>0</xdr:rowOff>
    </xdr:from>
    <xdr:to>
      <xdr:col>1</xdr:col>
      <xdr:colOff>2158741</xdr:colOff>
      <xdr:row>3</xdr:row>
      <xdr:rowOff>9360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04530BF-7ACF-466F-A0E3-32181FB27F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60960</xdr:colOff>
      <xdr:row>8</xdr:row>
      <xdr:rowOff>30480</xdr:rowOff>
    </xdr:from>
    <xdr:to>
      <xdr:col>1</xdr:col>
      <xdr:colOff>492960</xdr:colOff>
      <xdr:row>8</xdr:row>
      <xdr:rowOff>296880</xdr:rowOff>
    </xdr:to>
    <xdr:sp macro="" textlink="">
      <xdr:nvSpPr>
        <xdr:cNvPr id="4" name="Seta: para a Direita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7B0E444-98AF-4011-AF6F-050390BFAC3E}"/>
            </a:ext>
          </a:extLst>
        </xdr:cNvPr>
        <xdr:cNvSpPr/>
      </xdr:nvSpPr>
      <xdr:spPr>
        <a:xfrm flipH="1">
          <a:off x="182880" y="78486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3</xdr:col>
      <xdr:colOff>407670</xdr:colOff>
      <xdr:row>8</xdr:row>
      <xdr:rowOff>30480</xdr:rowOff>
    </xdr:from>
    <xdr:to>
      <xdr:col>3</xdr:col>
      <xdr:colOff>1720620</xdr:colOff>
      <xdr:row>8</xdr:row>
      <xdr:rowOff>295040</xdr:rowOff>
    </xdr:to>
    <xdr:sp macro="" textlink="">
      <xdr:nvSpPr>
        <xdr:cNvPr id="5" name="CaixaDeText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C07228C-AEA8-4C4A-AB56-87F982079C5C}"/>
            </a:ext>
          </a:extLst>
        </xdr:cNvPr>
        <xdr:cNvSpPr txBox="1"/>
      </xdr:nvSpPr>
      <xdr:spPr>
        <a:xfrm>
          <a:off x="4773930" y="78486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Avaliação</a:t>
          </a:r>
        </a:p>
      </xdr:txBody>
    </xdr:sp>
    <xdr:clientData fPrintsWithSheet="0"/>
  </xdr:twoCellAnchor>
  <xdr:twoCellAnchor editAs="absolute">
    <xdr:from>
      <xdr:col>1</xdr:col>
      <xdr:colOff>556260</xdr:colOff>
      <xdr:row>8</xdr:row>
      <xdr:rowOff>30480</xdr:rowOff>
    </xdr:from>
    <xdr:to>
      <xdr:col>1</xdr:col>
      <xdr:colOff>1888260</xdr:colOff>
      <xdr:row>8</xdr:row>
      <xdr:rowOff>295040</xdr:rowOff>
    </xdr:to>
    <xdr:sp macro="" textlink="">
      <xdr:nvSpPr>
        <xdr:cNvPr id="7" name="CaixaDeText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643C1C1-36CE-467D-8DD0-486C1BF315F9}"/>
            </a:ext>
          </a:extLst>
        </xdr:cNvPr>
        <xdr:cNvSpPr txBox="1"/>
      </xdr:nvSpPr>
      <xdr:spPr>
        <a:xfrm>
          <a:off x="678180" y="784860"/>
          <a:ext cx="1332000" cy="264560"/>
        </a:xfrm>
        <a:prstGeom prst="rect">
          <a:avLst/>
        </a:prstGeom>
        <a:solidFill>
          <a:schemeClr val="accent5">
            <a:lumMod val="75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bg1"/>
              </a:solidFill>
            </a:rPr>
            <a:t>Cadastro</a:t>
          </a:r>
        </a:p>
      </xdr:txBody>
    </xdr:sp>
    <xdr:clientData fPrintsWithSheet="0"/>
  </xdr:twoCellAnchor>
  <xdr:twoCellAnchor editAs="absolute">
    <xdr:from>
      <xdr:col>1</xdr:col>
      <xdr:colOff>1921510</xdr:colOff>
      <xdr:row>8</xdr:row>
      <xdr:rowOff>30480</xdr:rowOff>
    </xdr:from>
    <xdr:to>
      <xdr:col>1</xdr:col>
      <xdr:colOff>3253510</xdr:colOff>
      <xdr:row>8</xdr:row>
      <xdr:rowOff>295040</xdr:rowOff>
    </xdr:to>
    <xdr:sp macro="" textlink="">
      <xdr:nvSpPr>
        <xdr:cNvPr id="12" name="CaixaDeTexto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C54DA2E-B67D-4F5A-973D-E181480255A1}"/>
            </a:ext>
          </a:extLst>
        </xdr:cNvPr>
        <xdr:cNvSpPr txBox="1"/>
      </xdr:nvSpPr>
      <xdr:spPr>
        <a:xfrm>
          <a:off x="2043430" y="78486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Informações</a:t>
          </a:r>
        </a:p>
      </xdr:txBody>
    </xdr:sp>
    <xdr:clientData fPrintsWithSheet="0"/>
  </xdr:twoCellAnchor>
  <xdr:twoCellAnchor editAs="absolute">
    <xdr:from>
      <xdr:col>1</xdr:col>
      <xdr:colOff>3286760</xdr:colOff>
      <xdr:row>8</xdr:row>
      <xdr:rowOff>30480</xdr:rowOff>
    </xdr:from>
    <xdr:to>
      <xdr:col>3</xdr:col>
      <xdr:colOff>374420</xdr:colOff>
      <xdr:row>8</xdr:row>
      <xdr:rowOff>295040</xdr:rowOff>
    </xdr:to>
    <xdr:sp macro="" textlink="">
      <xdr:nvSpPr>
        <xdr:cNvPr id="13" name="CaixaDeTexto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805B1E2-8AE2-4729-B3FE-CED1D2334FE7}"/>
            </a:ext>
          </a:extLst>
        </xdr:cNvPr>
        <xdr:cNvSpPr txBox="1"/>
      </xdr:nvSpPr>
      <xdr:spPr>
        <a:xfrm>
          <a:off x="3408680" y="78486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Objetivos</a:t>
          </a:r>
        </a:p>
      </xdr:txBody>
    </xdr:sp>
    <xdr:clientData fPrintsWithSheet="0"/>
  </xdr:twoCellAnchor>
  <xdr:twoCellAnchor editAs="absolute">
    <xdr:from>
      <xdr:col>4</xdr:col>
      <xdr:colOff>5080</xdr:colOff>
      <xdr:row>8</xdr:row>
      <xdr:rowOff>30480</xdr:rowOff>
    </xdr:from>
    <xdr:to>
      <xdr:col>4</xdr:col>
      <xdr:colOff>1337080</xdr:colOff>
      <xdr:row>8</xdr:row>
      <xdr:rowOff>295040</xdr:rowOff>
    </xdr:to>
    <xdr:sp macro="" textlink="">
      <xdr:nvSpPr>
        <xdr:cNvPr id="14" name="CaixaDeTexto 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1586755-99FF-483D-BD5C-99EA778D3C33}"/>
            </a:ext>
          </a:extLst>
        </xdr:cNvPr>
        <xdr:cNvSpPr txBox="1"/>
      </xdr:nvSpPr>
      <xdr:spPr>
        <a:xfrm>
          <a:off x="6139180" y="78486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Foto</a:t>
          </a:r>
        </a:p>
      </xdr:txBody>
    </xdr:sp>
    <xdr:clientData fPrintsWithSheet="0"/>
  </xdr:twoCellAnchor>
  <xdr:twoCellAnchor editAs="absolute">
    <xdr:from>
      <xdr:col>4</xdr:col>
      <xdr:colOff>1370330</xdr:colOff>
      <xdr:row>8</xdr:row>
      <xdr:rowOff>30480</xdr:rowOff>
    </xdr:from>
    <xdr:to>
      <xdr:col>5</xdr:col>
      <xdr:colOff>934490</xdr:colOff>
      <xdr:row>8</xdr:row>
      <xdr:rowOff>295040</xdr:rowOff>
    </xdr:to>
    <xdr:sp macro="" textlink="">
      <xdr:nvSpPr>
        <xdr:cNvPr id="15" name="CaixaDeText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3C727EE-5E24-4B50-A84F-7EC153757E50}"/>
            </a:ext>
          </a:extLst>
        </xdr:cNvPr>
        <xdr:cNvSpPr txBox="1"/>
      </xdr:nvSpPr>
      <xdr:spPr>
        <a:xfrm>
          <a:off x="7504430" y="78486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Ficha</a:t>
          </a:r>
        </a:p>
      </xdr:txBody>
    </xdr:sp>
    <xdr:clientData fPrintsWithSheet="0"/>
  </xdr:twoCellAnchor>
  <xdr:twoCellAnchor editAs="absolute">
    <xdr:from>
      <xdr:col>5</xdr:col>
      <xdr:colOff>967740</xdr:colOff>
      <xdr:row>8</xdr:row>
      <xdr:rowOff>30480</xdr:rowOff>
    </xdr:from>
    <xdr:to>
      <xdr:col>6</xdr:col>
      <xdr:colOff>533805</xdr:colOff>
      <xdr:row>8</xdr:row>
      <xdr:rowOff>295040</xdr:rowOff>
    </xdr:to>
    <xdr:sp macro="" textlink="">
      <xdr:nvSpPr>
        <xdr:cNvPr id="16" name="CaixaDeText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36F54FB9-56FC-4177-B62B-FB5F63D2AF06}"/>
            </a:ext>
          </a:extLst>
        </xdr:cNvPr>
        <xdr:cNvSpPr txBox="1"/>
      </xdr:nvSpPr>
      <xdr:spPr>
        <a:xfrm>
          <a:off x="8869680" y="78486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2415540</xdr:colOff>
      <xdr:row>0</xdr:row>
      <xdr:rowOff>0</xdr:rowOff>
    </xdr:from>
    <xdr:ext cx="835152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8E262D4-BB09-405B-950B-00AAC09AB4B8}"/>
            </a:ext>
          </a:extLst>
        </xdr:cNvPr>
        <xdr:cNvSpPr txBox="1"/>
      </xdr:nvSpPr>
      <xdr:spPr>
        <a:xfrm>
          <a:off x="2537460" y="0"/>
          <a:ext cx="835152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Gerador</a:t>
          </a:r>
          <a:r>
            <a:rPr lang="pt-BR" sz="2400" b="1" baseline="0">
              <a:solidFill>
                <a:schemeClr val="accent5">
                  <a:lumMod val="75000"/>
                </a:schemeClr>
              </a:solidFill>
            </a:rPr>
            <a:t> de Personas</a:t>
          </a:r>
          <a:r>
            <a:rPr lang="pt-BR" sz="2400" b="1">
              <a:solidFill>
                <a:schemeClr val="accent5">
                  <a:lumMod val="75000"/>
                </a:schemeClr>
              </a:solidFill>
            </a:rPr>
            <a:t>| </a:t>
          </a:r>
          <a:r>
            <a:rPr lang="pt-BR" sz="2400" b="1">
              <a:solidFill>
                <a:schemeClr val="accent2"/>
              </a:solidFill>
            </a:rPr>
            <a:t>Informações da Persona</a:t>
          </a:r>
        </a:p>
      </xdr:txBody>
    </xdr:sp>
    <xdr:clientData/>
  </xdr:oneCellAnchor>
  <xdr:twoCellAnchor editAs="absolute">
    <xdr:from>
      <xdr:col>1</xdr:col>
      <xdr:colOff>205740</xdr:colOff>
      <xdr:row>0</xdr:row>
      <xdr:rowOff>0</xdr:rowOff>
    </xdr:from>
    <xdr:to>
      <xdr:col>1</xdr:col>
      <xdr:colOff>2158741</xdr:colOff>
      <xdr:row>3</xdr:row>
      <xdr:rowOff>9360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DD5513-0443-4544-BC15-55DFDB16AA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60960</xdr:colOff>
      <xdr:row>8</xdr:row>
      <xdr:rowOff>45720</xdr:rowOff>
    </xdr:from>
    <xdr:to>
      <xdr:col>1</xdr:col>
      <xdr:colOff>492960</xdr:colOff>
      <xdr:row>8</xdr:row>
      <xdr:rowOff>312120</xdr:rowOff>
    </xdr:to>
    <xdr:sp macro="" textlink="">
      <xdr:nvSpPr>
        <xdr:cNvPr id="16" name="Seta: para a Direita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1489B6-98C7-446A-AB13-BC6EBBA3EBB9}"/>
            </a:ext>
          </a:extLst>
        </xdr:cNvPr>
        <xdr:cNvSpPr/>
      </xdr:nvSpPr>
      <xdr:spPr>
        <a:xfrm flipH="1">
          <a:off x="182880" y="80010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</xdr:col>
      <xdr:colOff>1169670</xdr:colOff>
      <xdr:row>8</xdr:row>
      <xdr:rowOff>53340</xdr:rowOff>
    </xdr:from>
    <xdr:to>
      <xdr:col>2</xdr:col>
      <xdr:colOff>2501670</xdr:colOff>
      <xdr:row>8</xdr:row>
      <xdr:rowOff>317900</xdr:rowOff>
    </xdr:to>
    <xdr:sp macro="" textlink="">
      <xdr:nvSpPr>
        <xdr:cNvPr id="12" name="CaixaDeTexto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43024E9-C763-4011-BA6D-F667F161CE6F}"/>
            </a:ext>
          </a:extLst>
        </xdr:cNvPr>
        <xdr:cNvSpPr txBox="1"/>
      </xdr:nvSpPr>
      <xdr:spPr>
        <a:xfrm>
          <a:off x="4773930" y="80772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Avaliação</a:t>
          </a:r>
        </a:p>
      </xdr:txBody>
    </xdr:sp>
    <xdr:clientData fPrintsWithSheet="0"/>
  </xdr:twoCellAnchor>
  <xdr:twoCellAnchor editAs="absolute">
    <xdr:from>
      <xdr:col>1</xdr:col>
      <xdr:colOff>556260</xdr:colOff>
      <xdr:row>8</xdr:row>
      <xdr:rowOff>53340</xdr:rowOff>
    </xdr:from>
    <xdr:to>
      <xdr:col>1</xdr:col>
      <xdr:colOff>1888260</xdr:colOff>
      <xdr:row>8</xdr:row>
      <xdr:rowOff>317900</xdr:rowOff>
    </xdr:to>
    <xdr:sp macro="" textlink="">
      <xdr:nvSpPr>
        <xdr:cNvPr id="17" name="CaixaDeTexto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FBFDB7D-10B8-4A89-B947-D94AD402D76B}"/>
            </a:ext>
          </a:extLst>
        </xdr:cNvPr>
        <xdr:cNvSpPr txBox="1"/>
      </xdr:nvSpPr>
      <xdr:spPr>
        <a:xfrm>
          <a:off x="678180" y="80772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r>
            <a:rPr lang="pt-BR" sz="1100" b="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Cadastro</a:t>
          </a:r>
        </a:p>
      </xdr:txBody>
    </xdr:sp>
    <xdr:clientData fPrintsWithSheet="0"/>
  </xdr:twoCellAnchor>
  <xdr:twoCellAnchor editAs="absolute">
    <xdr:from>
      <xdr:col>1</xdr:col>
      <xdr:colOff>1921510</xdr:colOff>
      <xdr:row>8</xdr:row>
      <xdr:rowOff>53340</xdr:rowOff>
    </xdr:from>
    <xdr:to>
      <xdr:col>1</xdr:col>
      <xdr:colOff>3253510</xdr:colOff>
      <xdr:row>8</xdr:row>
      <xdr:rowOff>317900</xdr:rowOff>
    </xdr:to>
    <xdr:sp macro="" textlink="">
      <xdr:nvSpPr>
        <xdr:cNvPr id="18" name="CaixaDeTexto 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25A34D3-1E1F-4455-B111-AEBB5C049CC4}"/>
            </a:ext>
          </a:extLst>
        </xdr:cNvPr>
        <xdr:cNvSpPr txBox="1"/>
      </xdr:nvSpPr>
      <xdr:spPr>
        <a:xfrm>
          <a:off x="2043430" y="807720"/>
          <a:ext cx="1332000" cy="264560"/>
        </a:xfrm>
        <a:prstGeom prst="rect">
          <a:avLst/>
        </a:prstGeom>
        <a:solidFill>
          <a:schemeClr val="accent5">
            <a:lumMod val="75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r>
            <a:rPr lang="pt-BR" sz="1100" b="0">
              <a:solidFill>
                <a:schemeClr val="bg1"/>
              </a:solidFill>
              <a:latin typeface="+mn-lt"/>
              <a:ea typeface="+mn-ea"/>
              <a:cs typeface="+mn-cs"/>
            </a:rPr>
            <a:t>Informações</a:t>
          </a:r>
        </a:p>
      </xdr:txBody>
    </xdr:sp>
    <xdr:clientData fPrintsWithSheet="0"/>
  </xdr:twoCellAnchor>
  <xdr:twoCellAnchor editAs="absolute">
    <xdr:from>
      <xdr:col>1</xdr:col>
      <xdr:colOff>3286760</xdr:colOff>
      <xdr:row>8</xdr:row>
      <xdr:rowOff>53340</xdr:rowOff>
    </xdr:from>
    <xdr:to>
      <xdr:col>2</xdr:col>
      <xdr:colOff>1136420</xdr:colOff>
      <xdr:row>8</xdr:row>
      <xdr:rowOff>317900</xdr:rowOff>
    </xdr:to>
    <xdr:sp macro="" textlink="">
      <xdr:nvSpPr>
        <xdr:cNvPr id="19" name="CaixaDeTexto 1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B2621FD-6E9C-41DE-BEF2-AAA187631AE2}"/>
            </a:ext>
          </a:extLst>
        </xdr:cNvPr>
        <xdr:cNvSpPr txBox="1"/>
      </xdr:nvSpPr>
      <xdr:spPr>
        <a:xfrm>
          <a:off x="3408680" y="80772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Objetivos</a:t>
          </a:r>
        </a:p>
      </xdr:txBody>
    </xdr:sp>
    <xdr:clientData fPrintsWithSheet="0"/>
  </xdr:twoCellAnchor>
  <xdr:twoCellAnchor editAs="absolute">
    <xdr:from>
      <xdr:col>2</xdr:col>
      <xdr:colOff>2534920</xdr:colOff>
      <xdr:row>8</xdr:row>
      <xdr:rowOff>53340</xdr:rowOff>
    </xdr:from>
    <xdr:to>
      <xdr:col>3</xdr:col>
      <xdr:colOff>384580</xdr:colOff>
      <xdr:row>8</xdr:row>
      <xdr:rowOff>317900</xdr:rowOff>
    </xdr:to>
    <xdr:sp macro="" textlink="">
      <xdr:nvSpPr>
        <xdr:cNvPr id="20" name="CaixaDeTexto 1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07A1A34-8669-4874-8EB7-722B52FB4B0F}"/>
            </a:ext>
          </a:extLst>
        </xdr:cNvPr>
        <xdr:cNvSpPr txBox="1"/>
      </xdr:nvSpPr>
      <xdr:spPr>
        <a:xfrm>
          <a:off x="6139180" y="80772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Foto</a:t>
          </a:r>
        </a:p>
      </xdr:txBody>
    </xdr:sp>
    <xdr:clientData fPrintsWithSheet="0"/>
  </xdr:twoCellAnchor>
  <xdr:twoCellAnchor editAs="absolute">
    <xdr:from>
      <xdr:col>3</xdr:col>
      <xdr:colOff>417830</xdr:colOff>
      <xdr:row>8</xdr:row>
      <xdr:rowOff>53340</xdr:rowOff>
    </xdr:from>
    <xdr:to>
      <xdr:col>5</xdr:col>
      <xdr:colOff>54380</xdr:colOff>
      <xdr:row>8</xdr:row>
      <xdr:rowOff>317900</xdr:rowOff>
    </xdr:to>
    <xdr:sp macro="" textlink="">
      <xdr:nvSpPr>
        <xdr:cNvPr id="21" name="CaixaDeTexto 2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C65CB74-9368-47F1-BF0B-5AED08F3197E}"/>
            </a:ext>
          </a:extLst>
        </xdr:cNvPr>
        <xdr:cNvSpPr txBox="1"/>
      </xdr:nvSpPr>
      <xdr:spPr>
        <a:xfrm>
          <a:off x="7504430" y="80772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Ficha</a:t>
          </a:r>
        </a:p>
      </xdr:txBody>
    </xdr:sp>
    <xdr:clientData fPrintsWithSheet="0"/>
  </xdr:twoCellAnchor>
  <xdr:twoCellAnchor editAs="absolute">
    <xdr:from>
      <xdr:col>5</xdr:col>
      <xdr:colOff>87630</xdr:colOff>
      <xdr:row>8</xdr:row>
      <xdr:rowOff>53340</xdr:rowOff>
    </xdr:from>
    <xdr:to>
      <xdr:col>6</xdr:col>
      <xdr:colOff>571905</xdr:colOff>
      <xdr:row>8</xdr:row>
      <xdr:rowOff>317900</xdr:rowOff>
    </xdr:to>
    <xdr:sp macro="" textlink="">
      <xdr:nvSpPr>
        <xdr:cNvPr id="22" name="CaixaDeTexto 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E0D535B3-DB72-49EB-9145-4FD34EED7403}"/>
            </a:ext>
          </a:extLst>
        </xdr:cNvPr>
        <xdr:cNvSpPr txBox="1"/>
      </xdr:nvSpPr>
      <xdr:spPr>
        <a:xfrm>
          <a:off x="8869680" y="80772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2415540</xdr:colOff>
      <xdr:row>0</xdr:row>
      <xdr:rowOff>0</xdr:rowOff>
    </xdr:from>
    <xdr:ext cx="835152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11B3D065-90A9-4BBD-840A-9EA941C500B3}"/>
            </a:ext>
          </a:extLst>
        </xdr:cNvPr>
        <xdr:cNvSpPr txBox="1"/>
      </xdr:nvSpPr>
      <xdr:spPr>
        <a:xfrm>
          <a:off x="2537460" y="0"/>
          <a:ext cx="835152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Gerador</a:t>
          </a:r>
          <a:r>
            <a:rPr lang="pt-BR" sz="2400" b="1" baseline="0">
              <a:solidFill>
                <a:schemeClr val="accent5">
                  <a:lumMod val="75000"/>
                </a:schemeClr>
              </a:solidFill>
            </a:rPr>
            <a:t> de Personas</a:t>
          </a:r>
          <a:r>
            <a:rPr lang="pt-BR" sz="2400" b="1">
              <a:solidFill>
                <a:schemeClr val="accent5">
                  <a:lumMod val="75000"/>
                </a:schemeClr>
              </a:solidFill>
            </a:rPr>
            <a:t>| </a:t>
          </a:r>
          <a:r>
            <a:rPr lang="pt-BR" sz="2400" b="1">
              <a:solidFill>
                <a:schemeClr val="accent2"/>
              </a:solidFill>
            </a:rPr>
            <a:t>Objetivos da Persona</a:t>
          </a:r>
        </a:p>
      </xdr:txBody>
    </xdr:sp>
    <xdr:clientData/>
  </xdr:oneCellAnchor>
  <xdr:twoCellAnchor editAs="absolute">
    <xdr:from>
      <xdr:col>1</xdr:col>
      <xdr:colOff>205740</xdr:colOff>
      <xdr:row>0</xdr:row>
      <xdr:rowOff>0</xdr:rowOff>
    </xdr:from>
    <xdr:to>
      <xdr:col>1</xdr:col>
      <xdr:colOff>2158741</xdr:colOff>
      <xdr:row>3</xdr:row>
      <xdr:rowOff>9360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EE7B328-41E5-425E-9EE7-E3DA2887B5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60960</xdr:colOff>
      <xdr:row>8</xdr:row>
      <xdr:rowOff>45720</xdr:rowOff>
    </xdr:from>
    <xdr:to>
      <xdr:col>1</xdr:col>
      <xdr:colOff>492960</xdr:colOff>
      <xdr:row>8</xdr:row>
      <xdr:rowOff>312120</xdr:rowOff>
    </xdr:to>
    <xdr:sp macro="" textlink="">
      <xdr:nvSpPr>
        <xdr:cNvPr id="4" name="Seta: para a Direita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DD0DD2-2774-495D-A521-261752EC336F}"/>
            </a:ext>
          </a:extLst>
        </xdr:cNvPr>
        <xdr:cNvSpPr/>
      </xdr:nvSpPr>
      <xdr:spPr>
        <a:xfrm flipH="1">
          <a:off x="182880" y="80010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</xdr:col>
      <xdr:colOff>1146810</xdr:colOff>
      <xdr:row>8</xdr:row>
      <xdr:rowOff>45720</xdr:rowOff>
    </xdr:from>
    <xdr:to>
      <xdr:col>2</xdr:col>
      <xdr:colOff>2478810</xdr:colOff>
      <xdr:row>8</xdr:row>
      <xdr:rowOff>310280</xdr:rowOff>
    </xdr:to>
    <xdr:sp macro="" textlink="">
      <xdr:nvSpPr>
        <xdr:cNvPr id="12" name="CaixaDeTexto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13EFA5B-FD03-42AF-AF62-060B835D13E4}"/>
            </a:ext>
          </a:extLst>
        </xdr:cNvPr>
        <xdr:cNvSpPr txBox="1"/>
      </xdr:nvSpPr>
      <xdr:spPr>
        <a:xfrm>
          <a:off x="4751070" y="80010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Avaliação</a:t>
          </a:r>
        </a:p>
      </xdr:txBody>
    </xdr:sp>
    <xdr:clientData fPrintsWithSheet="0"/>
  </xdr:twoCellAnchor>
  <xdr:twoCellAnchor editAs="absolute">
    <xdr:from>
      <xdr:col>1</xdr:col>
      <xdr:colOff>533400</xdr:colOff>
      <xdr:row>8</xdr:row>
      <xdr:rowOff>45720</xdr:rowOff>
    </xdr:from>
    <xdr:to>
      <xdr:col>1</xdr:col>
      <xdr:colOff>1865400</xdr:colOff>
      <xdr:row>8</xdr:row>
      <xdr:rowOff>310280</xdr:rowOff>
    </xdr:to>
    <xdr:sp macro="" textlink="">
      <xdr:nvSpPr>
        <xdr:cNvPr id="13" name="CaixaDeText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E7A37F8-4612-44F8-A058-5F97ADA0A837}"/>
            </a:ext>
          </a:extLst>
        </xdr:cNvPr>
        <xdr:cNvSpPr txBox="1"/>
      </xdr:nvSpPr>
      <xdr:spPr>
        <a:xfrm>
          <a:off x="655320" y="80010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r>
            <a:rPr lang="pt-BR" sz="1100" b="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Cadastro</a:t>
          </a:r>
        </a:p>
      </xdr:txBody>
    </xdr:sp>
    <xdr:clientData fPrintsWithSheet="0"/>
  </xdr:twoCellAnchor>
  <xdr:twoCellAnchor editAs="absolute">
    <xdr:from>
      <xdr:col>1</xdr:col>
      <xdr:colOff>1898650</xdr:colOff>
      <xdr:row>8</xdr:row>
      <xdr:rowOff>45720</xdr:rowOff>
    </xdr:from>
    <xdr:to>
      <xdr:col>1</xdr:col>
      <xdr:colOff>3230650</xdr:colOff>
      <xdr:row>8</xdr:row>
      <xdr:rowOff>310280</xdr:rowOff>
    </xdr:to>
    <xdr:sp macro="" textlink="">
      <xdr:nvSpPr>
        <xdr:cNvPr id="14" name="CaixaDeTexto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DBB871E-7025-455D-BDE6-E7063FD80CDA}"/>
            </a:ext>
          </a:extLst>
        </xdr:cNvPr>
        <xdr:cNvSpPr txBox="1"/>
      </xdr:nvSpPr>
      <xdr:spPr>
        <a:xfrm>
          <a:off x="2020570" y="80010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Informações</a:t>
          </a:r>
        </a:p>
      </xdr:txBody>
    </xdr:sp>
    <xdr:clientData fPrintsWithSheet="0"/>
  </xdr:twoCellAnchor>
  <xdr:twoCellAnchor editAs="absolute">
    <xdr:from>
      <xdr:col>1</xdr:col>
      <xdr:colOff>3263900</xdr:colOff>
      <xdr:row>8</xdr:row>
      <xdr:rowOff>45720</xdr:rowOff>
    </xdr:from>
    <xdr:to>
      <xdr:col>2</xdr:col>
      <xdr:colOff>1113560</xdr:colOff>
      <xdr:row>8</xdr:row>
      <xdr:rowOff>310280</xdr:rowOff>
    </xdr:to>
    <xdr:sp macro="" textlink="">
      <xdr:nvSpPr>
        <xdr:cNvPr id="15" name="CaixaDeTexto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59B88E6-5599-4FE2-9E77-087E76D56F09}"/>
            </a:ext>
          </a:extLst>
        </xdr:cNvPr>
        <xdr:cNvSpPr txBox="1"/>
      </xdr:nvSpPr>
      <xdr:spPr>
        <a:xfrm>
          <a:off x="3385820" y="800100"/>
          <a:ext cx="1332000" cy="264560"/>
        </a:xfrm>
        <a:prstGeom prst="rect">
          <a:avLst/>
        </a:prstGeom>
        <a:solidFill>
          <a:schemeClr val="accent5">
            <a:lumMod val="75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r>
            <a:rPr lang="pt-BR" sz="1100" b="0">
              <a:solidFill>
                <a:schemeClr val="bg1"/>
              </a:solidFill>
              <a:latin typeface="+mn-lt"/>
              <a:ea typeface="+mn-ea"/>
              <a:cs typeface="+mn-cs"/>
            </a:rPr>
            <a:t>Objetivos</a:t>
          </a:r>
        </a:p>
      </xdr:txBody>
    </xdr:sp>
    <xdr:clientData fPrintsWithSheet="0"/>
  </xdr:twoCellAnchor>
  <xdr:twoCellAnchor editAs="absolute">
    <xdr:from>
      <xdr:col>2</xdr:col>
      <xdr:colOff>2512060</xdr:colOff>
      <xdr:row>8</xdr:row>
      <xdr:rowOff>45720</xdr:rowOff>
    </xdr:from>
    <xdr:to>
      <xdr:col>3</xdr:col>
      <xdr:colOff>361720</xdr:colOff>
      <xdr:row>8</xdr:row>
      <xdr:rowOff>310280</xdr:rowOff>
    </xdr:to>
    <xdr:sp macro="" textlink="">
      <xdr:nvSpPr>
        <xdr:cNvPr id="16" name="CaixaDeTexto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E28A7B9-A1AD-4C75-9C98-98B796B684F2}"/>
            </a:ext>
          </a:extLst>
        </xdr:cNvPr>
        <xdr:cNvSpPr txBox="1"/>
      </xdr:nvSpPr>
      <xdr:spPr>
        <a:xfrm>
          <a:off x="6116320" y="80010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Foto</a:t>
          </a:r>
        </a:p>
      </xdr:txBody>
    </xdr:sp>
    <xdr:clientData fPrintsWithSheet="0"/>
  </xdr:twoCellAnchor>
  <xdr:twoCellAnchor editAs="absolute">
    <xdr:from>
      <xdr:col>3</xdr:col>
      <xdr:colOff>394970</xdr:colOff>
      <xdr:row>8</xdr:row>
      <xdr:rowOff>45720</xdr:rowOff>
    </xdr:from>
    <xdr:to>
      <xdr:col>3</xdr:col>
      <xdr:colOff>1726970</xdr:colOff>
      <xdr:row>8</xdr:row>
      <xdr:rowOff>310280</xdr:rowOff>
    </xdr:to>
    <xdr:sp macro="" textlink="">
      <xdr:nvSpPr>
        <xdr:cNvPr id="17" name="CaixaDeText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165E191-CB76-40AE-B199-4CF5CD98434F}"/>
            </a:ext>
          </a:extLst>
        </xdr:cNvPr>
        <xdr:cNvSpPr txBox="1"/>
      </xdr:nvSpPr>
      <xdr:spPr>
        <a:xfrm>
          <a:off x="7481570" y="80010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Ficha</a:t>
          </a:r>
        </a:p>
      </xdr:txBody>
    </xdr:sp>
    <xdr:clientData fPrintsWithSheet="0"/>
  </xdr:twoCellAnchor>
  <xdr:twoCellAnchor editAs="absolute">
    <xdr:from>
      <xdr:col>3</xdr:col>
      <xdr:colOff>1760220</xdr:colOff>
      <xdr:row>8</xdr:row>
      <xdr:rowOff>45720</xdr:rowOff>
    </xdr:from>
    <xdr:to>
      <xdr:col>3</xdr:col>
      <xdr:colOff>3092220</xdr:colOff>
      <xdr:row>8</xdr:row>
      <xdr:rowOff>310280</xdr:rowOff>
    </xdr:to>
    <xdr:sp macro="" textlink="">
      <xdr:nvSpPr>
        <xdr:cNvPr id="18" name="CaixaDeTexto 1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6F0F17F-C434-4A5C-9100-11EC67791C47}"/>
            </a:ext>
          </a:extLst>
        </xdr:cNvPr>
        <xdr:cNvSpPr txBox="1"/>
      </xdr:nvSpPr>
      <xdr:spPr>
        <a:xfrm>
          <a:off x="8846820" y="80010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2415540</xdr:colOff>
      <xdr:row>0</xdr:row>
      <xdr:rowOff>0</xdr:rowOff>
    </xdr:from>
    <xdr:ext cx="835152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55F35878-2E98-4909-91A4-339BDEB93AF0}"/>
            </a:ext>
          </a:extLst>
        </xdr:cNvPr>
        <xdr:cNvSpPr txBox="1"/>
      </xdr:nvSpPr>
      <xdr:spPr>
        <a:xfrm>
          <a:off x="2537460" y="0"/>
          <a:ext cx="835152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Gerador</a:t>
          </a:r>
          <a:r>
            <a:rPr lang="pt-BR" sz="2400" b="1" baseline="0">
              <a:solidFill>
                <a:schemeClr val="accent5">
                  <a:lumMod val="75000"/>
                </a:schemeClr>
              </a:solidFill>
            </a:rPr>
            <a:t> de Personas</a:t>
          </a:r>
          <a:r>
            <a:rPr lang="pt-BR" sz="2400" b="1">
              <a:solidFill>
                <a:schemeClr val="accent5">
                  <a:lumMod val="75000"/>
                </a:schemeClr>
              </a:solidFill>
            </a:rPr>
            <a:t>| </a:t>
          </a:r>
          <a:r>
            <a:rPr lang="pt-BR" sz="2400" b="1">
              <a:solidFill>
                <a:schemeClr val="accent2"/>
              </a:solidFill>
            </a:rPr>
            <a:t>Avaliação</a:t>
          </a:r>
        </a:p>
      </xdr:txBody>
    </xdr:sp>
    <xdr:clientData/>
  </xdr:oneCellAnchor>
  <xdr:twoCellAnchor editAs="absolute">
    <xdr:from>
      <xdr:col>1</xdr:col>
      <xdr:colOff>205740</xdr:colOff>
      <xdr:row>0</xdr:row>
      <xdr:rowOff>0</xdr:rowOff>
    </xdr:from>
    <xdr:to>
      <xdr:col>1</xdr:col>
      <xdr:colOff>2158741</xdr:colOff>
      <xdr:row>3</xdr:row>
      <xdr:rowOff>9360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430F71-CF45-4ACC-93CF-89155B535A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60960</xdr:colOff>
      <xdr:row>8</xdr:row>
      <xdr:rowOff>45720</xdr:rowOff>
    </xdr:from>
    <xdr:to>
      <xdr:col>1</xdr:col>
      <xdr:colOff>492960</xdr:colOff>
      <xdr:row>8</xdr:row>
      <xdr:rowOff>312120</xdr:rowOff>
    </xdr:to>
    <xdr:sp macro="" textlink="">
      <xdr:nvSpPr>
        <xdr:cNvPr id="4" name="Seta: para a Direita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83E8A4-3528-4DB9-A5FF-5BF7C41126AA}"/>
            </a:ext>
          </a:extLst>
        </xdr:cNvPr>
        <xdr:cNvSpPr/>
      </xdr:nvSpPr>
      <xdr:spPr>
        <a:xfrm flipH="1">
          <a:off x="182880" y="80010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</xdr:col>
      <xdr:colOff>1154430</xdr:colOff>
      <xdr:row>8</xdr:row>
      <xdr:rowOff>45720</xdr:rowOff>
    </xdr:from>
    <xdr:to>
      <xdr:col>2</xdr:col>
      <xdr:colOff>2486430</xdr:colOff>
      <xdr:row>8</xdr:row>
      <xdr:rowOff>310280</xdr:rowOff>
    </xdr:to>
    <xdr:sp macro="" textlink="">
      <xdr:nvSpPr>
        <xdr:cNvPr id="12" name="CaixaDeTexto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6C607AF-D53F-49F3-BA7A-548A7FDC24CB}"/>
            </a:ext>
          </a:extLst>
        </xdr:cNvPr>
        <xdr:cNvSpPr txBox="1"/>
      </xdr:nvSpPr>
      <xdr:spPr>
        <a:xfrm>
          <a:off x="4758690" y="800100"/>
          <a:ext cx="1332000" cy="264560"/>
        </a:xfrm>
        <a:prstGeom prst="rect">
          <a:avLst/>
        </a:prstGeom>
        <a:solidFill>
          <a:schemeClr val="accent5">
            <a:lumMod val="75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r>
            <a:rPr lang="pt-BR" sz="1100" b="0">
              <a:solidFill>
                <a:schemeClr val="bg1"/>
              </a:solidFill>
              <a:latin typeface="+mn-lt"/>
              <a:ea typeface="+mn-ea"/>
              <a:cs typeface="+mn-cs"/>
            </a:rPr>
            <a:t>Avaliação</a:t>
          </a:r>
        </a:p>
      </xdr:txBody>
    </xdr:sp>
    <xdr:clientData fPrintsWithSheet="0"/>
  </xdr:twoCellAnchor>
  <xdr:twoCellAnchor editAs="absolute">
    <xdr:from>
      <xdr:col>1</xdr:col>
      <xdr:colOff>541020</xdr:colOff>
      <xdr:row>8</xdr:row>
      <xdr:rowOff>45720</xdr:rowOff>
    </xdr:from>
    <xdr:to>
      <xdr:col>1</xdr:col>
      <xdr:colOff>1873020</xdr:colOff>
      <xdr:row>8</xdr:row>
      <xdr:rowOff>310280</xdr:rowOff>
    </xdr:to>
    <xdr:sp macro="" textlink="">
      <xdr:nvSpPr>
        <xdr:cNvPr id="13" name="CaixaDeText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588B987-4CF1-424F-A493-BF0AA4F76F58}"/>
            </a:ext>
          </a:extLst>
        </xdr:cNvPr>
        <xdr:cNvSpPr txBox="1"/>
      </xdr:nvSpPr>
      <xdr:spPr>
        <a:xfrm>
          <a:off x="662940" y="80010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r>
            <a:rPr lang="pt-BR" sz="1100" b="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Cadastro</a:t>
          </a:r>
        </a:p>
      </xdr:txBody>
    </xdr:sp>
    <xdr:clientData fPrintsWithSheet="0"/>
  </xdr:twoCellAnchor>
  <xdr:twoCellAnchor editAs="absolute">
    <xdr:from>
      <xdr:col>1</xdr:col>
      <xdr:colOff>1906270</xdr:colOff>
      <xdr:row>8</xdr:row>
      <xdr:rowOff>45720</xdr:rowOff>
    </xdr:from>
    <xdr:to>
      <xdr:col>1</xdr:col>
      <xdr:colOff>3238270</xdr:colOff>
      <xdr:row>8</xdr:row>
      <xdr:rowOff>310280</xdr:rowOff>
    </xdr:to>
    <xdr:sp macro="" textlink="">
      <xdr:nvSpPr>
        <xdr:cNvPr id="14" name="CaixaDeTexto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C4FCA23-5443-4329-9CE0-24F1735DC844}"/>
            </a:ext>
          </a:extLst>
        </xdr:cNvPr>
        <xdr:cNvSpPr txBox="1"/>
      </xdr:nvSpPr>
      <xdr:spPr>
        <a:xfrm>
          <a:off x="2028190" y="80010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Informações</a:t>
          </a:r>
        </a:p>
      </xdr:txBody>
    </xdr:sp>
    <xdr:clientData fPrintsWithSheet="0"/>
  </xdr:twoCellAnchor>
  <xdr:twoCellAnchor editAs="absolute">
    <xdr:from>
      <xdr:col>1</xdr:col>
      <xdr:colOff>3271520</xdr:colOff>
      <xdr:row>8</xdr:row>
      <xdr:rowOff>45720</xdr:rowOff>
    </xdr:from>
    <xdr:to>
      <xdr:col>2</xdr:col>
      <xdr:colOff>1121180</xdr:colOff>
      <xdr:row>8</xdr:row>
      <xdr:rowOff>310280</xdr:rowOff>
    </xdr:to>
    <xdr:sp macro="" textlink="">
      <xdr:nvSpPr>
        <xdr:cNvPr id="15" name="CaixaDeTexto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36D0A47-0729-499B-8541-B63B9433E8A2}"/>
            </a:ext>
          </a:extLst>
        </xdr:cNvPr>
        <xdr:cNvSpPr txBox="1"/>
      </xdr:nvSpPr>
      <xdr:spPr>
        <a:xfrm>
          <a:off x="3393440" y="80010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Objetivos</a:t>
          </a:r>
        </a:p>
      </xdr:txBody>
    </xdr:sp>
    <xdr:clientData fPrintsWithSheet="0"/>
  </xdr:twoCellAnchor>
  <xdr:twoCellAnchor editAs="absolute">
    <xdr:from>
      <xdr:col>2</xdr:col>
      <xdr:colOff>2519680</xdr:colOff>
      <xdr:row>8</xdr:row>
      <xdr:rowOff>45720</xdr:rowOff>
    </xdr:from>
    <xdr:to>
      <xdr:col>2</xdr:col>
      <xdr:colOff>3851680</xdr:colOff>
      <xdr:row>8</xdr:row>
      <xdr:rowOff>310280</xdr:rowOff>
    </xdr:to>
    <xdr:sp macro="" textlink="">
      <xdr:nvSpPr>
        <xdr:cNvPr id="16" name="CaixaDeTexto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8C51A3E0-7B34-4BBF-BE16-5B73ED19ACD3}"/>
            </a:ext>
          </a:extLst>
        </xdr:cNvPr>
        <xdr:cNvSpPr txBox="1"/>
      </xdr:nvSpPr>
      <xdr:spPr>
        <a:xfrm>
          <a:off x="6123940" y="80010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Foto</a:t>
          </a:r>
        </a:p>
      </xdr:txBody>
    </xdr:sp>
    <xdr:clientData fPrintsWithSheet="0"/>
  </xdr:twoCellAnchor>
  <xdr:twoCellAnchor editAs="absolute">
    <xdr:from>
      <xdr:col>2</xdr:col>
      <xdr:colOff>3884930</xdr:colOff>
      <xdr:row>8</xdr:row>
      <xdr:rowOff>45720</xdr:rowOff>
    </xdr:from>
    <xdr:to>
      <xdr:col>2</xdr:col>
      <xdr:colOff>5216930</xdr:colOff>
      <xdr:row>8</xdr:row>
      <xdr:rowOff>310280</xdr:rowOff>
    </xdr:to>
    <xdr:sp macro="" textlink="">
      <xdr:nvSpPr>
        <xdr:cNvPr id="17" name="CaixaDeText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80D0F9F-C63A-4448-9304-06BC9EDDB7ED}"/>
            </a:ext>
          </a:extLst>
        </xdr:cNvPr>
        <xdr:cNvSpPr txBox="1"/>
      </xdr:nvSpPr>
      <xdr:spPr>
        <a:xfrm>
          <a:off x="7489190" y="80010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Ficha</a:t>
          </a:r>
        </a:p>
      </xdr:txBody>
    </xdr:sp>
    <xdr:clientData fPrintsWithSheet="0"/>
  </xdr:twoCellAnchor>
  <xdr:twoCellAnchor editAs="absolute">
    <xdr:from>
      <xdr:col>2</xdr:col>
      <xdr:colOff>5250180</xdr:colOff>
      <xdr:row>8</xdr:row>
      <xdr:rowOff>45720</xdr:rowOff>
    </xdr:from>
    <xdr:to>
      <xdr:col>2</xdr:col>
      <xdr:colOff>6582180</xdr:colOff>
      <xdr:row>8</xdr:row>
      <xdr:rowOff>310280</xdr:rowOff>
    </xdr:to>
    <xdr:sp macro="" textlink="">
      <xdr:nvSpPr>
        <xdr:cNvPr id="18" name="CaixaDeTexto 1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E2D67E5-A2ED-4E43-9FB8-A4E9E1B3DDDB}"/>
            </a:ext>
          </a:extLst>
        </xdr:cNvPr>
        <xdr:cNvSpPr txBox="1"/>
      </xdr:nvSpPr>
      <xdr:spPr>
        <a:xfrm>
          <a:off x="8854440" y="80010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2415540</xdr:colOff>
      <xdr:row>0</xdr:row>
      <xdr:rowOff>0</xdr:rowOff>
    </xdr:from>
    <xdr:ext cx="835152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FC551B61-2CD1-4D50-99CF-8854E346B6EB}"/>
            </a:ext>
          </a:extLst>
        </xdr:cNvPr>
        <xdr:cNvSpPr txBox="1"/>
      </xdr:nvSpPr>
      <xdr:spPr>
        <a:xfrm>
          <a:off x="2537460" y="0"/>
          <a:ext cx="835152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Gerador</a:t>
          </a:r>
          <a:r>
            <a:rPr lang="pt-BR" sz="2400" b="1" baseline="0">
              <a:solidFill>
                <a:schemeClr val="accent5">
                  <a:lumMod val="75000"/>
                </a:schemeClr>
              </a:solidFill>
            </a:rPr>
            <a:t> de Personas</a:t>
          </a:r>
          <a:r>
            <a:rPr lang="pt-BR" sz="2400" b="1">
              <a:solidFill>
                <a:schemeClr val="accent5">
                  <a:lumMod val="75000"/>
                </a:schemeClr>
              </a:solidFill>
            </a:rPr>
            <a:t>| </a:t>
          </a:r>
          <a:r>
            <a:rPr lang="pt-BR" sz="2400" b="1">
              <a:solidFill>
                <a:schemeClr val="accent2"/>
              </a:solidFill>
            </a:rPr>
            <a:t>Foto</a:t>
          </a:r>
        </a:p>
      </xdr:txBody>
    </xdr:sp>
    <xdr:clientData/>
  </xdr:oneCellAnchor>
  <xdr:twoCellAnchor editAs="absolute">
    <xdr:from>
      <xdr:col>1</xdr:col>
      <xdr:colOff>205740</xdr:colOff>
      <xdr:row>0</xdr:row>
      <xdr:rowOff>0</xdr:rowOff>
    </xdr:from>
    <xdr:to>
      <xdr:col>1</xdr:col>
      <xdr:colOff>2158741</xdr:colOff>
      <xdr:row>3</xdr:row>
      <xdr:rowOff>9360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A92E4E3-0F16-4D34-99CB-1B8BCF90F6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60960</xdr:colOff>
      <xdr:row>8</xdr:row>
      <xdr:rowOff>45720</xdr:rowOff>
    </xdr:from>
    <xdr:to>
      <xdr:col>1</xdr:col>
      <xdr:colOff>492960</xdr:colOff>
      <xdr:row>8</xdr:row>
      <xdr:rowOff>312120</xdr:rowOff>
    </xdr:to>
    <xdr:sp macro="" textlink="">
      <xdr:nvSpPr>
        <xdr:cNvPr id="4" name="Seta: para a Direita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0CC5304-4416-4F52-A2F1-F78F5EC42E68}"/>
            </a:ext>
          </a:extLst>
        </xdr:cNvPr>
        <xdr:cNvSpPr/>
      </xdr:nvSpPr>
      <xdr:spPr>
        <a:xfrm flipH="1">
          <a:off x="182880" y="80010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oneCell">
    <xdr:from>
      <xdr:col>2</xdr:col>
      <xdr:colOff>590550</xdr:colOff>
      <xdr:row>14</xdr:row>
      <xdr:rowOff>161925</xdr:rowOff>
    </xdr:from>
    <xdr:to>
      <xdr:col>2</xdr:col>
      <xdr:colOff>1575600</xdr:colOff>
      <xdr:row>14</xdr:row>
      <xdr:rowOff>1134962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65192D89-1C6A-45FC-BAC1-F5E52B8703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05275" y="2324100"/>
          <a:ext cx="985050" cy="973037"/>
        </a:xfrm>
        <a:prstGeom prst="ellipse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542925</xdr:colOff>
      <xdr:row>15</xdr:row>
      <xdr:rowOff>72725</xdr:rowOff>
    </xdr:from>
    <xdr:to>
      <xdr:col>2</xdr:col>
      <xdr:colOff>1628775</xdr:colOff>
      <xdr:row>15</xdr:row>
      <xdr:rowOff>1137284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2197FFE8-5E66-4FF0-BA34-553B5B68AE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57650" y="3501725"/>
          <a:ext cx="1085850" cy="1064559"/>
        </a:xfrm>
        <a:prstGeom prst="ellipse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548640</xdr:colOff>
      <xdr:row>16</xdr:row>
      <xdr:rowOff>123825</xdr:rowOff>
    </xdr:from>
    <xdr:to>
      <xdr:col>2</xdr:col>
      <xdr:colOff>1613362</xdr:colOff>
      <xdr:row>16</xdr:row>
      <xdr:rowOff>1228725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C35A4839-3510-4D58-B8B8-A97B68D694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3365" y="4819650"/>
          <a:ext cx="1064722" cy="1104900"/>
        </a:xfrm>
        <a:prstGeom prst="ellipse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1139190</xdr:colOff>
      <xdr:row>8</xdr:row>
      <xdr:rowOff>45720</xdr:rowOff>
    </xdr:from>
    <xdr:to>
      <xdr:col>3</xdr:col>
      <xdr:colOff>360450</xdr:colOff>
      <xdr:row>8</xdr:row>
      <xdr:rowOff>310280</xdr:rowOff>
    </xdr:to>
    <xdr:sp macro="" textlink="">
      <xdr:nvSpPr>
        <xdr:cNvPr id="15" name="CaixaDeTexto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C527AE7-0A5F-4AB9-98C4-FF2A8B6DD232}"/>
            </a:ext>
          </a:extLst>
        </xdr:cNvPr>
        <xdr:cNvSpPr txBox="1"/>
      </xdr:nvSpPr>
      <xdr:spPr>
        <a:xfrm>
          <a:off x="4743450" y="80010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Avaliação</a:t>
          </a:r>
        </a:p>
      </xdr:txBody>
    </xdr:sp>
    <xdr:clientData fPrintsWithSheet="0"/>
  </xdr:twoCellAnchor>
  <xdr:twoCellAnchor editAs="absolute">
    <xdr:from>
      <xdr:col>1</xdr:col>
      <xdr:colOff>525780</xdr:colOff>
      <xdr:row>8</xdr:row>
      <xdr:rowOff>45720</xdr:rowOff>
    </xdr:from>
    <xdr:to>
      <xdr:col>1</xdr:col>
      <xdr:colOff>1857780</xdr:colOff>
      <xdr:row>8</xdr:row>
      <xdr:rowOff>310280</xdr:rowOff>
    </xdr:to>
    <xdr:sp macro="" textlink="">
      <xdr:nvSpPr>
        <xdr:cNvPr id="16" name="CaixaDeTexto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D8B20B2-E9F6-4B7F-A07B-25090C7BE914}"/>
            </a:ext>
          </a:extLst>
        </xdr:cNvPr>
        <xdr:cNvSpPr txBox="1"/>
      </xdr:nvSpPr>
      <xdr:spPr>
        <a:xfrm>
          <a:off x="647700" y="80010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r>
            <a:rPr lang="pt-BR" sz="1100" b="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Cadastro</a:t>
          </a:r>
        </a:p>
      </xdr:txBody>
    </xdr:sp>
    <xdr:clientData fPrintsWithSheet="0"/>
  </xdr:twoCellAnchor>
  <xdr:twoCellAnchor editAs="absolute">
    <xdr:from>
      <xdr:col>1</xdr:col>
      <xdr:colOff>1891030</xdr:colOff>
      <xdr:row>8</xdr:row>
      <xdr:rowOff>45720</xdr:rowOff>
    </xdr:from>
    <xdr:to>
      <xdr:col>1</xdr:col>
      <xdr:colOff>3223030</xdr:colOff>
      <xdr:row>8</xdr:row>
      <xdr:rowOff>310280</xdr:rowOff>
    </xdr:to>
    <xdr:sp macro="" textlink="">
      <xdr:nvSpPr>
        <xdr:cNvPr id="17" name="CaixaDeText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F127731-2809-4FA8-A1C5-2CE68A3F2152}"/>
            </a:ext>
          </a:extLst>
        </xdr:cNvPr>
        <xdr:cNvSpPr txBox="1"/>
      </xdr:nvSpPr>
      <xdr:spPr>
        <a:xfrm>
          <a:off x="2012950" y="80010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Informações</a:t>
          </a:r>
        </a:p>
      </xdr:txBody>
    </xdr:sp>
    <xdr:clientData fPrintsWithSheet="0"/>
  </xdr:twoCellAnchor>
  <xdr:twoCellAnchor editAs="absolute">
    <xdr:from>
      <xdr:col>1</xdr:col>
      <xdr:colOff>3256280</xdr:colOff>
      <xdr:row>8</xdr:row>
      <xdr:rowOff>45720</xdr:rowOff>
    </xdr:from>
    <xdr:to>
      <xdr:col>2</xdr:col>
      <xdr:colOff>1105940</xdr:colOff>
      <xdr:row>8</xdr:row>
      <xdr:rowOff>310280</xdr:rowOff>
    </xdr:to>
    <xdr:sp macro="" textlink="">
      <xdr:nvSpPr>
        <xdr:cNvPr id="18" name="CaixaDeTexto 1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3108D5CF-C49E-4213-B434-A6AB8C5699A9}"/>
            </a:ext>
          </a:extLst>
        </xdr:cNvPr>
        <xdr:cNvSpPr txBox="1"/>
      </xdr:nvSpPr>
      <xdr:spPr>
        <a:xfrm>
          <a:off x="3378200" y="80010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Objetivos</a:t>
          </a:r>
        </a:p>
      </xdr:txBody>
    </xdr:sp>
    <xdr:clientData fPrintsWithSheet="0"/>
  </xdr:twoCellAnchor>
  <xdr:twoCellAnchor editAs="absolute">
    <xdr:from>
      <xdr:col>3</xdr:col>
      <xdr:colOff>393700</xdr:colOff>
      <xdr:row>8</xdr:row>
      <xdr:rowOff>45720</xdr:rowOff>
    </xdr:from>
    <xdr:to>
      <xdr:col>3</xdr:col>
      <xdr:colOff>1725700</xdr:colOff>
      <xdr:row>8</xdr:row>
      <xdr:rowOff>310280</xdr:rowOff>
    </xdr:to>
    <xdr:sp macro="" textlink="">
      <xdr:nvSpPr>
        <xdr:cNvPr id="19" name="CaixaDeTexto 1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B9ACB93-77E1-403D-88B9-269E9BCA9687}"/>
            </a:ext>
          </a:extLst>
        </xdr:cNvPr>
        <xdr:cNvSpPr txBox="1"/>
      </xdr:nvSpPr>
      <xdr:spPr>
        <a:xfrm>
          <a:off x="6108700" y="800100"/>
          <a:ext cx="1332000" cy="264560"/>
        </a:xfrm>
        <a:prstGeom prst="rect">
          <a:avLst/>
        </a:prstGeom>
        <a:solidFill>
          <a:schemeClr val="accent5">
            <a:lumMod val="75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r>
            <a:rPr lang="pt-BR" sz="1100" b="0">
              <a:solidFill>
                <a:schemeClr val="bg1"/>
              </a:solidFill>
              <a:latin typeface="+mn-lt"/>
              <a:ea typeface="+mn-ea"/>
              <a:cs typeface="+mn-cs"/>
            </a:rPr>
            <a:t>Foto</a:t>
          </a:r>
        </a:p>
      </xdr:txBody>
    </xdr:sp>
    <xdr:clientData fPrintsWithSheet="0"/>
  </xdr:twoCellAnchor>
  <xdr:twoCellAnchor editAs="absolute">
    <xdr:from>
      <xdr:col>3</xdr:col>
      <xdr:colOff>1758950</xdr:colOff>
      <xdr:row>8</xdr:row>
      <xdr:rowOff>45720</xdr:rowOff>
    </xdr:from>
    <xdr:to>
      <xdr:col>3</xdr:col>
      <xdr:colOff>3090950</xdr:colOff>
      <xdr:row>8</xdr:row>
      <xdr:rowOff>310280</xdr:rowOff>
    </xdr:to>
    <xdr:sp macro="" textlink="">
      <xdr:nvSpPr>
        <xdr:cNvPr id="20" name="CaixaDeTexto 1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7C11F19-DCAA-4F4B-AC05-933318F4CB9D}"/>
            </a:ext>
          </a:extLst>
        </xdr:cNvPr>
        <xdr:cNvSpPr txBox="1"/>
      </xdr:nvSpPr>
      <xdr:spPr>
        <a:xfrm>
          <a:off x="7473950" y="80010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Ficha</a:t>
          </a:r>
        </a:p>
      </xdr:txBody>
    </xdr:sp>
    <xdr:clientData fPrintsWithSheet="0"/>
  </xdr:twoCellAnchor>
  <xdr:twoCellAnchor editAs="absolute">
    <xdr:from>
      <xdr:col>3</xdr:col>
      <xdr:colOff>3124200</xdr:colOff>
      <xdr:row>8</xdr:row>
      <xdr:rowOff>45720</xdr:rowOff>
    </xdr:from>
    <xdr:to>
      <xdr:col>4</xdr:col>
      <xdr:colOff>973860</xdr:colOff>
      <xdr:row>8</xdr:row>
      <xdr:rowOff>310280</xdr:rowOff>
    </xdr:to>
    <xdr:sp macro="" textlink="">
      <xdr:nvSpPr>
        <xdr:cNvPr id="21" name="CaixaDeTexto 2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3031DCD9-7F4B-4356-80D8-DEC5F6564336}"/>
            </a:ext>
          </a:extLst>
        </xdr:cNvPr>
        <xdr:cNvSpPr txBox="1"/>
      </xdr:nvSpPr>
      <xdr:spPr>
        <a:xfrm>
          <a:off x="8839200" y="80010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</a:t>
          </a:r>
        </a:p>
      </xdr:txBody>
    </xdr:sp>
    <xdr:clientData fPrintsWithSheet="0"/>
  </xdr:twoCellAnchor>
  <xdr:twoCellAnchor editAs="oneCell">
    <xdr:from>
      <xdr:col>2</xdr:col>
      <xdr:colOff>498475</xdr:colOff>
      <xdr:row>18</xdr:row>
      <xdr:rowOff>117212</xdr:rowOff>
    </xdr:from>
    <xdr:to>
      <xdr:col>2</xdr:col>
      <xdr:colOff>1552575</xdr:colOff>
      <xdr:row>18</xdr:row>
      <xdr:rowOff>1158457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5DDF5F7F-9161-4C8B-90D1-6ADC779825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3200" y="7346687"/>
          <a:ext cx="1054100" cy="1041245"/>
        </a:xfrm>
        <a:prstGeom prst="ellipse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466726</xdr:colOff>
      <xdr:row>17</xdr:row>
      <xdr:rowOff>9525</xdr:rowOff>
    </xdr:from>
    <xdr:to>
      <xdr:col>2</xdr:col>
      <xdr:colOff>1743076</xdr:colOff>
      <xdr:row>18</xdr:row>
      <xdr:rowOff>13377</xdr:rowOff>
    </xdr:to>
    <xdr:pic>
      <xdr:nvPicPr>
        <xdr:cNvPr id="24" name="Imagem 23" descr="ícone de personagem avatar linda mulher latina 1993889 Vetor no Vecteezy">
          <a:extLst>
            <a:ext uri="{FF2B5EF4-FFF2-40B4-BE49-F238E27FC236}">
              <a16:creationId xmlns:a16="http://schemas.microsoft.com/office/drawing/2014/main" id="{B7028032-D5FC-46FD-B6D8-F94FCD4337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81451" y="5972175"/>
          <a:ext cx="1276350" cy="12706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464820</xdr:colOff>
      <xdr:row>0</xdr:row>
      <xdr:rowOff>0</xdr:rowOff>
    </xdr:from>
    <xdr:ext cx="672846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D6B30C2-FB8A-438C-AEDC-632C78CD9C1F}"/>
            </a:ext>
          </a:extLst>
        </xdr:cNvPr>
        <xdr:cNvSpPr txBox="1"/>
      </xdr:nvSpPr>
      <xdr:spPr>
        <a:xfrm>
          <a:off x="2545080" y="0"/>
          <a:ext cx="672846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Gerador de Personas| </a:t>
          </a:r>
          <a:r>
            <a:rPr lang="pt-BR" sz="2400" b="1">
              <a:solidFill>
                <a:schemeClr val="accent2"/>
              </a:solidFill>
            </a:rPr>
            <a:t>Ficha da</a:t>
          </a:r>
          <a:r>
            <a:rPr lang="pt-BR" sz="2400" b="1" baseline="0">
              <a:solidFill>
                <a:schemeClr val="accent2"/>
              </a:solidFill>
            </a:rPr>
            <a:t> Persona</a:t>
          </a:r>
          <a:endParaRPr lang="pt-BR" sz="2400" b="1">
            <a:solidFill>
              <a:schemeClr val="accent2"/>
            </a:solidFill>
          </a:endParaRPr>
        </a:p>
      </xdr:txBody>
    </xdr:sp>
    <xdr:clientData/>
  </xdr:oneCellAnchor>
  <xdr:twoCellAnchor editAs="absolute">
    <xdr:from>
      <xdr:col>1</xdr:col>
      <xdr:colOff>205740</xdr:colOff>
      <xdr:row>0</xdr:row>
      <xdr:rowOff>0</xdr:rowOff>
    </xdr:from>
    <xdr:to>
      <xdr:col>2</xdr:col>
      <xdr:colOff>1248151</xdr:colOff>
      <xdr:row>3</xdr:row>
      <xdr:rowOff>9360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FF384F-320B-4C4D-85FA-E17B7BF07D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60960</xdr:colOff>
      <xdr:row>8</xdr:row>
      <xdr:rowOff>30480</xdr:rowOff>
    </xdr:from>
    <xdr:to>
      <xdr:col>1</xdr:col>
      <xdr:colOff>492960</xdr:colOff>
      <xdr:row>8</xdr:row>
      <xdr:rowOff>296880</xdr:rowOff>
    </xdr:to>
    <xdr:sp macro="" textlink="">
      <xdr:nvSpPr>
        <xdr:cNvPr id="4" name="Seta: para a Direita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0E319EB-7AE1-4A13-9320-7E30FD1EB255}"/>
            </a:ext>
          </a:extLst>
        </xdr:cNvPr>
        <xdr:cNvSpPr/>
      </xdr:nvSpPr>
      <xdr:spPr>
        <a:xfrm flipH="1">
          <a:off x="182880" y="78486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11</xdr:col>
      <xdr:colOff>445770</xdr:colOff>
      <xdr:row>8</xdr:row>
      <xdr:rowOff>38100</xdr:rowOff>
    </xdr:from>
    <xdr:to>
      <xdr:col>13</xdr:col>
      <xdr:colOff>44220</xdr:colOff>
      <xdr:row>8</xdr:row>
      <xdr:rowOff>302660</xdr:rowOff>
    </xdr:to>
    <xdr:sp macro="[0]!Imprimir" textlink="">
      <xdr:nvSpPr>
        <xdr:cNvPr id="20" name="CaixaDeTexto 19">
          <a:extLst>
            <a:ext uri="{FF2B5EF4-FFF2-40B4-BE49-F238E27FC236}">
              <a16:creationId xmlns:a16="http://schemas.microsoft.com/office/drawing/2014/main" id="{DEC28C3D-6AFB-4E75-BAD4-EB9148CBCBBE}"/>
            </a:ext>
          </a:extLst>
        </xdr:cNvPr>
        <xdr:cNvSpPr txBox="1"/>
      </xdr:nvSpPr>
      <xdr:spPr>
        <a:xfrm>
          <a:off x="10210800" y="79248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219076</xdr:colOff>
          <xdr:row>12</xdr:row>
          <xdr:rowOff>169545</xdr:rowOff>
        </xdr:from>
        <xdr:to>
          <xdr:col>2</xdr:col>
          <xdr:colOff>914401</xdr:colOff>
          <xdr:row>20</xdr:row>
          <xdr:rowOff>92054</xdr:rowOff>
        </xdr:to>
        <xdr:pic>
          <xdr:nvPicPr>
            <xdr:cNvPr id="22" name="Imagem 21">
              <a:extLst>
                <a:ext uri="{FF2B5EF4-FFF2-40B4-BE49-F238E27FC236}">
                  <a16:creationId xmlns:a16="http://schemas.microsoft.com/office/drawing/2014/main" id="{1256856D-4661-4DC1-A721-2BE5B244DE6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Foto" spid="_x0000_s10331"/>
                </a:ext>
              </a:extLst>
            </xdr:cNvPicPr>
          </xdr:nvPicPr>
          <xdr:blipFill rotWithShape="1">
            <a:blip xmlns:r="http://schemas.openxmlformats.org/officeDocument/2006/relationships" r:embed="rId3"/>
            <a:srcRect l="17396" t="2410" r="18151" b="4216"/>
            <a:stretch>
              <a:fillRect/>
            </a:stretch>
          </xdr:blipFill>
          <xdr:spPr bwMode="auto">
            <a:xfrm>
              <a:off x="342901" y="1798320"/>
              <a:ext cx="1562100" cy="138935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absolute">
    <xdr:from>
      <xdr:col>6</xdr:col>
      <xdr:colOff>556260</xdr:colOff>
      <xdr:row>8</xdr:row>
      <xdr:rowOff>38100</xdr:rowOff>
    </xdr:from>
    <xdr:to>
      <xdr:col>7</xdr:col>
      <xdr:colOff>463320</xdr:colOff>
      <xdr:row>8</xdr:row>
      <xdr:rowOff>302660</xdr:rowOff>
    </xdr:to>
    <xdr:sp macro="" textlink="">
      <xdr:nvSpPr>
        <xdr:cNvPr id="21" name="CaixaDeTexto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DB4B2B3-84E6-44C5-98FC-55784C9A5E42}"/>
            </a:ext>
          </a:extLst>
        </xdr:cNvPr>
        <xdr:cNvSpPr txBox="1"/>
      </xdr:nvSpPr>
      <xdr:spPr>
        <a:xfrm>
          <a:off x="4751070" y="79248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Avaliação</a:t>
          </a:r>
        </a:p>
      </xdr:txBody>
    </xdr:sp>
    <xdr:clientData fPrintsWithSheet="0"/>
  </xdr:twoCellAnchor>
  <xdr:twoCellAnchor editAs="absolute">
    <xdr:from>
      <xdr:col>1</xdr:col>
      <xdr:colOff>533400</xdr:colOff>
      <xdr:row>8</xdr:row>
      <xdr:rowOff>38100</xdr:rowOff>
    </xdr:from>
    <xdr:to>
      <xdr:col>2</xdr:col>
      <xdr:colOff>973860</xdr:colOff>
      <xdr:row>8</xdr:row>
      <xdr:rowOff>302660</xdr:rowOff>
    </xdr:to>
    <xdr:sp macro="" textlink="">
      <xdr:nvSpPr>
        <xdr:cNvPr id="23" name="CaixaDeTexto 2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2FB1F70-81EA-4465-99FB-0CCD218E0380}"/>
            </a:ext>
          </a:extLst>
        </xdr:cNvPr>
        <xdr:cNvSpPr txBox="1"/>
      </xdr:nvSpPr>
      <xdr:spPr>
        <a:xfrm>
          <a:off x="655320" y="79248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r>
            <a:rPr lang="pt-BR" sz="1100" b="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Cadastro</a:t>
          </a:r>
        </a:p>
      </xdr:txBody>
    </xdr:sp>
    <xdr:clientData fPrintsWithSheet="0"/>
  </xdr:twoCellAnchor>
  <xdr:twoCellAnchor editAs="absolute">
    <xdr:from>
      <xdr:col>2</xdr:col>
      <xdr:colOff>1007110</xdr:colOff>
      <xdr:row>8</xdr:row>
      <xdr:rowOff>38100</xdr:rowOff>
    </xdr:from>
    <xdr:to>
      <xdr:col>3</xdr:col>
      <xdr:colOff>919885</xdr:colOff>
      <xdr:row>8</xdr:row>
      <xdr:rowOff>302660</xdr:rowOff>
    </xdr:to>
    <xdr:sp macro="" textlink="">
      <xdr:nvSpPr>
        <xdr:cNvPr id="24" name="CaixaDeTexto 2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3FD46DC-36C6-4CC0-9800-10A474D7175D}"/>
            </a:ext>
          </a:extLst>
        </xdr:cNvPr>
        <xdr:cNvSpPr txBox="1"/>
      </xdr:nvSpPr>
      <xdr:spPr>
        <a:xfrm>
          <a:off x="2020570" y="79248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Informações</a:t>
          </a:r>
        </a:p>
      </xdr:txBody>
    </xdr:sp>
    <xdr:clientData fPrintsWithSheet="0"/>
  </xdr:twoCellAnchor>
  <xdr:twoCellAnchor editAs="absolute">
    <xdr:from>
      <xdr:col>3</xdr:col>
      <xdr:colOff>953135</xdr:colOff>
      <xdr:row>8</xdr:row>
      <xdr:rowOff>38100</xdr:rowOff>
    </xdr:from>
    <xdr:to>
      <xdr:col>6</xdr:col>
      <xdr:colOff>523010</xdr:colOff>
      <xdr:row>8</xdr:row>
      <xdr:rowOff>302660</xdr:rowOff>
    </xdr:to>
    <xdr:sp macro="" textlink="">
      <xdr:nvSpPr>
        <xdr:cNvPr id="25" name="CaixaDeTexto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F912218-C5C4-481F-9BEE-EBDFDDEF8EF9}"/>
            </a:ext>
          </a:extLst>
        </xdr:cNvPr>
        <xdr:cNvSpPr txBox="1"/>
      </xdr:nvSpPr>
      <xdr:spPr>
        <a:xfrm>
          <a:off x="3385820" y="79248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Objetivos</a:t>
          </a:r>
        </a:p>
      </xdr:txBody>
    </xdr:sp>
    <xdr:clientData fPrintsWithSheet="0"/>
  </xdr:twoCellAnchor>
  <xdr:twoCellAnchor editAs="absolute">
    <xdr:from>
      <xdr:col>7</xdr:col>
      <xdr:colOff>496570</xdr:colOff>
      <xdr:row>8</xdr:row>
      <xdr:rowOff>38100</xdr:rowOff>
    </xdr:from>
    <xdr:to>
      <xdr:col>8</xdr:col>
      <xdr:colOff>860830</xdr:colOff>
      <xdr:row>8</xdr:row>
      <xdr:rowOff>302660</xdr:rowOff>
    </xdr:to>
    <xdr:sp macro="" textlink="">
      <xdr:nvSpPr>
        <xdr:cNvPr id="26" name="CaixaDeTexto 2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2806A97-123F-4053-AE99-333B0A6337EE}"/>
            </a:ext>
          </a:extLst>
        </xdr:cNvPr>
        <xdr:cNvSpPr txBox="1"/>
      </xdr:nvSpPr>
      <xdr:spPr>
        <a:xfrm>
          <a:off x="6116320" y="79248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Foto</a:t>
          </a:r>
        </a:p>
      </xdr:txBody>
    </xdr:sp>
    <xdr:clientData fPrintsWithSheet="0"/>
  </xdr:twoCellAnchor>
  <xdr:twoCellAnchor editAs="absolute">
    <xdr:from>
      <xdr:col>8</xdr:col>
      <xdr:colOff>894080</xdr:colOff>
      <xdr:row>8</xdr:row>
      <xdr:rowOff>38100</xdr:rowOff>
    </xdr:from>
    <xdr:to>
      <xdr:col>9</xdr:col>
      <xdr:colOff>801140</xdr:colOff>
      <xdr:row>8</xdr:row>
      <xdr:rowOff>302660</xdr:rowOff>
    </xdr:to>
    <xdr:sp macro="" textlink="">
      <xdr:nvSpPr>
        <xdr:cNvPr id="27" name="CaixaDeTexto 2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5EFC5B6-F660-4A59-839D-BD84E7C8482A}"/>
            </a:ext>
          </a:extLst>
        </xdr:cNvPr>
        <xdr:cNvSpPr txBox="1"/>
      </xdr:nvSpPr>
      <xdr:spPr>
        <a:xfrm>
          <a:off x="7481570" y="792480"/>
          <a:ext cx="1332000" cy="264560"/>
        </a:xfrm>
        <a:prstGeom prst="rect">
          <a:avLst/>
        </a:prstGeom>
        <a:solidFill>
          <a:schemeClr val="accent5">
            <a:lumMod val="75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r>
            <a:rPr lang="pt-BR" sz="1100" b="0">
              <a:solidFill>
                <a:schemeClr val="bg1"/>
              </a:solidFill>
              <a:latin typeface="+mn-lt"/>
              <a:ea typeface="+mn-ea"/>
              <a:cs typeface="+mn-cs"/>
            </a:rPr>
            <a:t>Ficha</a:t>
          </a:r>
        </a:p>
      </xdr:txBody>
    </xdr:sp>
    <xdr:clientData fPrintsWithSheet="0"/>
  </xdr:twoCellAnchor>
  <xdr:twoCellAnchor editAs="absolute">
    <xdr:from>
      <xdr:col>9</xdr:col>
      <xdr:colOff>834390</xdr:colOff>
      <xdr:row>8</xdr:row>
      <xdr:rowOff>38100</xdr:rowOff>
    </xdr:from>
    <xdr:to>
      <xdr:col>11</xdr:col>
      <xdr:colOff>413790</xdr:colOff>
      <xdr:row>8</xdr:row>
      <xdr:rowOff>302660</xdr:rowOff>
    </xdr:to>
    <xdr:sp macro="" textlink="">
      <xdr:nvSpPr>
        <xdr:cNvPr id="28" name="CaixaDeTexto 2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8A6AD05-09A6-4E16-9066-002316A37B8A}"/>
            </a:ext>
          </a:extLst>
        </xdr:cNvPr>
        <xdr:cNvSpPr txBox="1"/>
      </xdr:nvSpPr>
      <xdr:spPr>
        <a:xfrm>
          <a:off x="8846820" y="79248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790575</xdr:colOff>
          <xdr:row>12</xdr:row>
          <xdr:rowOff>90190</xdr:rowOff>
        </xdr:from>
        <xdr:to>
          <xdr:col>13</xdr:col>
          <xdr:colOff>108190</xdr:colOff>
          <xdr:row>21</xdr:row>
          <xdr:rowOff>142280</xdr:rowOff>
        </xdr:to>
        <xdr:pic>
          <xdr:nvPicPr>
            <xdr:cNvPr id="29" name="Gráfico 3" descr="Mulher com preenchimento sólido">
              <a:extLst>
                <a:ext uri="{FF2B5EF4-FFF2-40B4-BE49-F238E27FC236}">
                  <a16:creationId xmlns:a16="http://schemas.microsoft.com/office/drawing/2014/main" id="{908014CB-C5CE-4D3F-AC1B-414F1457D419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eneroSelecionado" spid="_x0000_s10332"/>
                </a:ext>
              </a:extLst>
            </xdr:cNvPicPr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10153650" y="1718965"/>
              <a:ext cx="1032115" cy="1709440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>
    <xdr:from>
      <xdr:col>7</xdr:col>
      <xdr:colOff>923925</xdr:colOff>
      <xdr:row>13</xdr:row>
      <xdr:rowOff>19050</xdr:rowOff>
    </xdr:from>
    <xdr:to>
      <xdr:col>12</xdr:col>
      <xdr:colOff>66674</xdr:colOff>
      <xdr:row>21</xdr:row>
      <xdr:rowOff>57150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303E4450-8D9C-4F1E-A66C-B590DB62C6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200025</xdr:colOff>
      <xdr:row>26</xdr:row>
      <xdr:rowOff>133350</xdr:rowOff>
    </xdr:from>
    <xdr:to>
      <xdr:col>1</xdr:col>
      <xdr:colOff>740025</xdr:colOff>
      <xdr:row>29</xdr:row>
      <xdr:rowOff>101850</xdr:rowOff>
    </xdr:to>
    <xdr:pic>
      <xdr:nvPicPr>
        <xdr:cNvPr id="11" name="Gráfico 10" descr="Cidade com preenchimento sólido">
          <a:extLst>
            <a:ext uri="{FF2B5EF4-FFF2-40B4-BE49-F238E27FC236}">
              <a16:creationId xmlns:a16="http://schemas.microsoft.com/office/drawing/2014/main" id="{6AB23FB1-3DFC-43E9-BC1A-35F819E34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" y="4371975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200025</xdr:colOff>
      <xdr:row>30</xdr:row>
      <xdr:rowOff>123825</xdr:rowOff>
    </xdr:from>
    <xdr:to>
      <xdr:col>1</xdr:col>
      <xdr:colOff>740025</xdr:colOff>
      <xdr:row>33</xdr:row>
      <xdr:rowOff>92325</xdr:rowOff>
    </xdr:to>
    <xdr:pic>
      <xdr:nvPicPr>
        <xdr:cNvPr id="13" name="Gráfico 12" descr="Na mosca com preenchimento sólido">
          <a:extLst>
            <a:ext uri="{FF2B5EF4-FFF2-40B4-BE49-F238E27FC236}">
              <a16:creationId xmlns:a16="http://schemas.microsoft.com/office/drawing/2014/main" id="{4B600461-AC8C-4A8C-8352-1B8AC26D83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323850" y="512445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200025</xdr:colOff>
      <xdr:row>34</xdr:row>
      <xdr:rowOff>66675</xdr:rowOff>
    </xdr:from>
    <xdr:to>
      <xdr:col>1</xdr:col>
      <xdr:colOff>740025</xdr:colOff>
      <xdr:row>37</xdr:row>
      <xdr:rowOff>35175</xdr:rowOff>
    </xdr:to>
    <xdr:pic>
      <xdr:nvPicPr>
        <xdr:cNvPr id="16" name="Gráfico 15" descr="Obstáculo com preenchimento sólido">
          <a:extLst>
            <a:ext uri="{FF2B5EF4-FFF2-40B4-BE49-F238E27FC236}">
              <a16:creationId xmlns:a16="http://schemas.microsoft.com/office/drawing/2014/main" id="{8334255F-F372-43DA-A03A-540B2DE6F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323850" y="582930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200025</xdr:colOff>
      <xdr:row>40</xdr:row>
      <xdr:rowOff>114300</xdr:rowOff>
    </xdr:from>
    <xdr:to>
      <xdr:col>1</xdr:col>
      <xdr:colOff>740025</xdr:colOff>
      <xdr:row>43</xdr:row>
      <xdr:rowOff>82800</xdr:rowOff>
    </xdr:to>
    <xdr:pic>
      <xdr:nvPicPr>
        <xdr:cNvPr id="18" name="Gráfico 17" descr="Gráfico de barras com tendência ascendente com preenchimento sólido">
          <a:extLst>
            <a:ext uri="{FF2B5EF4-FFF2-40B4-BE49-F238E27FC236}">
              <a16:creationId xmlns:a16="http://schemas.microsoft.com/office/drawing/2014/main" id="{0A7335C4-994D-4E21-A9A9-73D810F61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323850" y="7019925"/>
          <a:ext cx="540000" cy="540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25</xdr:row>
      <xdr:rowOff>9524</xdr:rowOff>
    </xdr:from>
    <xdr:to>
      <xdr:col>8</xdr:col>
      <xdr:colOff>895350</xdr:colOff>
      <xdr:row>38</xdr:row>
      <xdr:rowOff>76199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48AE571F-4439-41B4-8F6E-508296F43B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</xdr:col>
      <xdr:colOff>0</xdr:colOff>
      <xdr:row>25</xdr:row>
      <xdr:rowOff>0</xdr:rowOff>
    </xdr:from>
    <xdr:to>
      <xdr:col>12</xdr:col>
      <xdr:colOff>628650</xdr:colOff>
      <xdr:row>38</xdr:row>
      <xdr:rowOff>66675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B76AE33A-B695-4E01-9DA5-9EC36C00E0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504825</xdr:colOff>
      <xdr:row>0</xdr:row>
      <xdr:rowOff>57150</xdr:rowOff>
    </xdr:from>
    <xdr:to>
      <xdr:col>4</xdr:col>
      <xdr:colOff>161925</xdr:colOff>
      <xdr:row>0</xdr:row>
      <xdr:rowOff>971550</xdr:rowOff>
    </xdr:to>
    <xdr:pic>
      <xdr:nvPicPr>
        <xdr:cNvPr id="2" name="Gráfico 1" descr="Mulher com preenchimento sólido">
          <a:extLst>
            <a:ext uri="{FF2B5EF4-FFF2-40B4-BE49-F238E27FC236}">
              <a16:creationId xmlns:a16="http://schemas.microsoft.com/office/drawing/2014/main" id="{7301A943-07DE-43D9-A7A4-F102E4867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67000" y="571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504825</xdr:colOff>
      <xdr:row>1</xdr:row>
      <xdr:rowOff>57150</xdr:rowOff>
    </xdr:from>
    <xdr:to>
      <xdr:col>4</xdr:col>
      <xdr:colOff>161925</xdr:colOff>
      <xdr:row>1</xdr:row>
      <xdr:rowOff>971550</xdr:rowOff>
    </xdr:to>
    <xdr:pic>
      <xdr:nvPicPr>
        <xdr:cNvPr id="3" name="Gráfico 2" descr="Homem com preenchimento sólido">
          <a:extLst>
            <a:ext uri="{FF2B5EF4-FFF2-40B4-BE49-F238E27FC236}">
              <a16:creationId xmlns:a16="http://schemas.microsoft.com/office/drawing/2014/main" id="{6D98141E-D2C3-48E1-A408-832B0B41D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67000" y="1066800"/>
          <a:ext cx="914400" cy="9144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144780</xdr:colOff>
      <xdr:row>0</xdr:row>
      <xdr:rowOff>0</xdr:rowOff>
    </xdr:from>
    <xdr:ext cx="681990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955108C-9FBB-4586-AB8E-D9D0751601E6}"/>
            </a:ext>
          </a:extLst>
        </xdr:cNvPr>
        <xdr:cNvSpPr txBox="1"/>
      </xdr:nvSpPr>
      <xdr:spPr>
        <a:xfrm>
          <a:off x="2583180" y="0"/>
          <a:ext cx="681990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Gerador de Personas| </a:t>
          </a:r>
          <a:r>
            <a:rPr lang="pt-BR" sz="2400" b="1">
              <a:solidFill>
                <a:schemeClr val="accent2"/>
              </a:solidFill>
            </a:rPr>
            <a:t>Relatório Geral</a:t>
          </a:r>
        </a:p>
      </xdr:txBody>
    </xdr:sp>
    <xdr:clientData/>
  </xdr:oneCellAnchor>
  <xdr:twoCellAnchor editAs="absolute">
    <xdr:from>
      <xdr:col>0</xdr:col>
      <xdr:colOff>342901</xdr:colOff>
      <xdr:row>0</xdr:row>
      <xdr:rowOff>0</xdr:rowOff>
    </xdr:from>
    <xdr:to>
      <xdr:col>3</xdr:col>
      <xdr:colOff>467102</xdr:colOff>
      <xdr:row>3</xdr:row>
      <xdr:rowOff>9360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1FCB2BD-D4FA-452E-B749-0C90762515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1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236220</xdr:colOff>
      <xdr:row>8</xdr:row>
      <xdr:rowOff>30480</xdr:rowOff>
    </xdr:from>
    <xdr:to>
      <xdr:col>1</xdr:col>
      <xdr:colOff>58620</xdr:colOff>
      <xdr:row>8</xdr:row>
      <xdr:rowOff>296880</xdr:rowOff>
    </xdr:to>
    <xdr:sp macro="" textlink="">
      <xdr:nvSpPr>
        <xdr:cNvPr id="14" name="Seta: para a Direita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CA8458D-232D-437B-B806-52A97D25A60B}"/>
            </a:ext>
          </a:extLst>
        </xdr:cNvPr>
        <xdr:cNvSpPr/>
      </xdr:nvSpPr>
      <xdr:spPr>
        <a:xfrm flipH="1">
          <a:off x="236220" y="78486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>
    <xdr:from>
      <xdr:col>0</xdr:col>
      <xdr:colOff>342900</xdr:colOff>
      <xdr:row>16</xdr:row>
      <xdr:rowOff>121920</xdr:rowOff>
    </xdr:from>
    <xdr:to>
      <xdr:col>9</xdr:col>
      <xdr:colOff>472440</xdr:colOff>
      <xdr:row>34</xdr:row>
      <xdr:rowOff>70080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AFC80E30-CECB-4C0A-93BF-DB347D3F3C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533400</xdr:colOff>
      <xdr:row>16</xdr:row>
      <xdr:rowOff>121920</xdr:rowOff>
    </xdr:from>
    <xdr:to>
      <xdr:col>19</xdr:col>
      <xdr:colOff>53340</xdr:colOff>
      <xdr:row>34</xdr:row>
      <xdr:rowOff>70080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F773B74-EBE0-4BB9-A13D-D7D499C7AE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16</xdr:col>
      <xdr:colOff>518160</xdr:colOff>
      <xdr:row>8</xdr:row>
      <xdr:rowOff>30480</xdr:rowOff>
    </xdr:from>
    <xdr:to>
      <xdr:col>19</xdr:col>
      <xdr:colOff>21360</xdr:colOff>
      <xdr:row>8</xdr:row>
      <xdr:rowOff>295040</xdr:rowOff>
    </xdr:to>
    <xdr:sp macro="[0]!Imprimir" textlink="">
      <xdr:nvSpPr>
        <xdr:cNvPr id="49" name="CaixaDeTexto 48">
          <a:extLst>
            <a:ext uri="{FF2B5EF4-FFF2-40B4-BE49-F238E27FC236}">
              <a16:creationId xmlns:a16="http://schemas.microsoft.com/office/drawing/2014/main" id="{20A0F488-CD52-4103-80E6-B2CB0AFE0260}"/>
            </a:ext>
          </a:extLst>
        </xdr:cNvPr>
        <xdr:cNvSpPr txBox="1"/>
      </xdr:nvSpPr>
      <xdr:spPr>
        <a:xfrm>
          <a:off x="10271760" y="78486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twoCellAnchor editAs="oneCell">
    <xdr:from>
      <xdr:col>1</xdr:col>
      <xdr:colOff>60960</xdr:colOff>
      <xdr:row>22</xdr:row>
      <xdr:rowOff>106680</xdr:rowOff>
    </xdr:from>
    <xdr:to>
      <xdr:col>2</xdr:col>
      <xdr:colOff>365760</xdr:colOff>
      <xdr:row>27</xdr:row>
      <xdr:rowOff>106680</xdr:rowOff>
    </xdr:to>
    <xdr:pic>
      <xdr:nvPicPr>
        <xdr:cNvPr id="6" name="Gráfico 5" descr="Mulher">
          <a:extLst>
            <a:ext uri="{FF2B5EF4-FFF2-40B4-BE49-F238E27FC236}">
              <a16:creationId xmlns:a16="http://schemas.microsoft.com/office/drawing/2014/main" id="{858209A6-EC84-44E3-9EE8-43A987CBF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0560" y="332994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7</xdr:col>
      <xdr:colOff>388620</xdr:colOff>
      <xdr:row>22</xdr:row>
      <xdr:rowOff>106680</xdr:rowOff>
    </xdr:from>
    <xdr:to>
      <xdr:col>9</xdr:col>
      <xdr:colOff>83820</xdr:colOff>
      <xdr:row>27</xdr:row>
      <xdr:rowOff>106680</xdr:rowOff>
    </xdr:to>
    <xdr:pic>
      <xdr:nvPicPr>
        <xdr:cNvPr id="8" name="Gráfico 7" descr="Homem">
          <a:extLst>
            <a:ext uri="{FF2B5EF4-FFF2-40B4-BE49-F238E27FC236}">
              <a16:creationId xmlns:a16="http://schemas.microsoft.com/office/drawing/2014/main" id="{C15DA0C4-D845-4BF4-92A5-1AF715A21B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55820" y="3329940"/>
          <a:ext cx="914400" cy="914400"/>
        </a:xfrm>
        <a:prstGeom prst="rect">
          <a:avLst/>
        </a:prstGeom>
      </xdr:spPr>
    </xdr:pic>
    <xdr:clientData/>
  </xdr:twoCellAnchor>
  <xdr:oneCellAnchor>
    <xdr:from>
      <xdr:col>1</xdr:col>
      <xdr:colOff>167640</xdr:colOff>
      <xdr:row>28</xdr:row>
      <xdr:rowOff>0</xdr:rowOff>
    </xdr:from>
    <xdr:ext cx="701040" cy="311496"/>
    <xdr:sp macro="" textlink="$C$62">
      <xdr:nvSpPr>
        <xdr:cNvPr id="50" name="CaixaDeTexto 49">
          <a:extLst>
            <a:ext uri="{FF2B5EF4-FFF2-40B4-BE49-F238E27FC236}">
              <a16:creationId xmlns:a16="http://schemas.microsoft.com/office/drawing/2014/main" id="{7B8BD99C-1DA5-48B9-8490-266F9346F574}"/>
            </a:ext>
          </a:extLst>
        </xdr:cNvPr>
        <xdr:cNvSpPr txBox="1"/>
      </xdr:nvSpPr>
      <xdr:spPr>
        <a:xfrm>
          <a:off x="777240" y="4320540"/>
          <a:ext cx="70104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D4AEDE95-40AE-4387-AC3F-9CF1ACF62553}" type="TxLink">
            <a:rPr lang="en-US" sz="1400" b="1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2</a:t>
          </a:fld>
          <a:endParaRPr lang="pt-BR" sz="1400" b="1">
            <a:solidFill>
              <a:srgbClr val="FF0000"/>
            </a:solidFill>
          </a:endParaRPr>
        </a:p>
      </xdr:txBody>
    </xdr:sp>
    <xdr:clientData/>
  </xdr:oneCellAnchor>
  <xdr:oneCellAnchor>
    <xdr:from>
      <xdr:col>7</xdr:col>
      <xdr:colOff>510540</xdr:colOff>
      <xdr:row>28</xdr:row>
      <xdr:rowOff>0</xdr:rowOff>
    </xdr:from>
    <xdr:ext cx="701040" cy="311496"/>
    <xdr:sp macro="" textlink="$C$61">
      <xdr:nvSpPr>
        <xdr:cNvPr id="51" name="CaixaDeTexto 50">
          <a:extLst>
            <a:ext uri="{FF2B5EF4-FFF2-40B4-BE49-F238E27FC236}">
              <a16:creationId xmlns:a16="http://schemas.microsoft.com/office/drawing/2014/main" id="{237628B0-E374-4E6A-99B1-7231CDF45AAD}"/>
            </a:ext>
          </a:extLst>
        </xdr:cNvPr>
        <xdr:cNvSpPr txBox="1"/>
      </xdr:nvSpPr>
      <xdr:spPr>
        <a:xfrm>
          <a:off x="4777740" y="4320540"/>
          <a:ext cx="70104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FC6CD5E-1FB4-4FBD-8B89-C0D022528562}" type="TxLink">
            <a:rPr lang="en-US" sz="1400" b="1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3</a:t>
          </a:fld>
          <a:endParaRPr lang="pt-BR" sz="14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oneCellAnchor>
  <xdr:oneCellAnchor>
    <xdr:from>
      <xdr:col>0</xdr:col>
      <xdr:colOff>259080</xdr:colOff>
      <xdr:row>13</xdr:row>
      <xdr:rowOff>45720</xdr:rowOff>
    </xdr:from>
    <xdr:ext cx="11209020" cy="374141"/>
    <xdr:sp macro="" textlink="$B$71">
      <xdr:nvSpPr>
        <xdr:cNvPr id="9" name="CaixaDeTexto 8">
          <a:extLst>
            <a:ext uri="{FF2B5EF4-FFF2-40B4-BE49-F238E27FC236}">
              <a16:creationId xmlns:a16="http://schemas.microsoft.com/office/drawing/2014/main" id="{517EA2CF-F168-45BB-A919-0BCE35F74992}"/>
            </a:ext>
          </a:extLst>
        </xdr:cNvPr>
        <xdr:cNvSpPr txBox="1"/>
      </xdr:nvSpPr>
      <xdr:spPr>
        <a:xfrm>
          <a:off x="259080" y="1623060"/>
          <a:ext cx="1120902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C933BA90-D24B-4B2A-8ACB-71C887BEBE63}" type="TxLink">
            <a:rPr lang="en-US" sz="18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/>
            <a:t>Foram cadastradas 5 Personas</a:t>
          </a:fld>
          <a:endParaRPr lang="pt-BR" sz="1800" b="0">
            <a:solidFill>
              <a:schemeClr val="accent5">
                <a:lumMod val="50000"/>
              </a:schemeClr>
            </a:solidFill>
          </a:endParaRPr>
        </a:p>
      </xdr:txBody>
    </xdr:sp>
    <xdr:clientData/>
  </xdr:oneCellAnchor>
  <xdr:oneCellAnchor>
    <xdr:from>
      <xdr:col>0</xdr:col>
      <xdr:colOff>274320</xdr:colOff>
      <xdr:row>14</xdr:row>
      <xdr:rowOff>167640</xdr:rowOff>
    </xdr:from>
    <xdr:ext cx="11071860" cy="280205"/>
    <xdr:sp macro="" textlink="">
      <xdr:nvSpPr>
        <xdr:cNvPr id="52" name="CaixaDeTexto 51">
          <a:extLst>
            <a:ext uri="{FF2B5EF4-FFF2-40B4-BE49-F238E27FC236}">
              <a16:creationId xmlns:a16="http://schemas.microsoft.com/office/drawing/2014/main" id="{F0000DF1-519C-47FC-9DF2-58AC9B7EA84B}"/>
            </a:ext>
          </a:extLst>
        </xdr:cNvPr>
        <xdr:cNvSpPr txBox="1"/>
      </xdr:nvSpPr>
      <xdr:spPr>
        <a:xfrm>
          <a:off x="274320" y="1927860"/>
          <a:ext cx="110718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0" i="0" u="none" strike="noStrike">
              <a:solidFill>
                <a:schemeClr val="bg1">
                  <a:lumMod val="50000"/>
                </a:schemeClr>
              </a:solidFill>
              <a:latin typeface="Calibri"/>
              <a:cs typeface="Calibri"/>
            </a:rPr>
            <a:t>Abaixo segue maiores</a:t>
          </a:r>
          <a:r>
            <a:rPr lang="en-US" sz="12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Calibri"/>
            </a:rPr>
            <a:t> informações referentes aos cadastros realizados.</a:t>
          </a:r>
          <a:endParaRPr lang="en-US" sz="1200" b="0" i="0" u="none" strike="noStrike">
            <a:solidFill>
              <a:schemeClr val="bg1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oneCellAnchor>
  <xdr:twoCellAnchor editAs="absolute">
    <xdr:from>
      <xdr:col>7</xdr:col>
      <xdr:colOff>537210</xdr:colOff>
      <xdr:row>8</xdr:row>
      <xdr:rowOff>38100</xdr:rowOff>
    </xdr:from>
    <xdr:to>
      <xdr:col>10</xdr:col>
      <xdr:colOff>40410</xdr:colOff>
      <xdr:row>8</xdr:row>
      <xdr:rowOff>302660</xdr:rowOff>
    </xdr:to>
    <xdr:sp macro="" textlink="">
      <xdr:nvSpPr>
        <xdr:cNvPr id="25" name="CaixaDeTexto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4EDC401D-DF0A-467D-B021-DACEAB5103C3}"/>
            </a:ext>
          </a:extLst>
        </xdr:cNvPr>
        <xdr:cNvSpPr txBox="1"/>
      </xdr:nvSpPr>
      <xdr:spPr>
        <a:xfrm>
          <a:off x="4804410" y="79248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Avaliação</a:t>
          </a:r>
        </a:p>
      </xdr:txBody>
    </xdr:sp>
    <xdr:clientData fPrintsWithSheet="0"/>
  </xdr:twoCellAnchor>
  <xdr:twoCellAnchor editAs="absolute">
    <xdr:from>
      <xdr:col>1</xdr:col>
      <xdr:colOff>99060</xdr:colOff>
      <xdr:row>8</xdr:row>
      <xdr:rowOff>38100</xdr:rowOff>
    </xdr:from>
    <xdr:to>
      <xdr:col>3</xdr:col>
      <xdr:colOff>211860</xdr:colOff>
      <xdr:row>8</xdr:row>
      <xdr:rowOff>302660</xdr:rowOff>
    </xdr:to>
    <xdr:sp macro="" textlink="">
      <xdr:nvSpPr>
        <xdr:cNvPr id="26" name="CaixaDeTexto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53C46E0-0083-4EB0-95BF-C98EF7A03A64}"/>
            </a:ext>
          </a:extLst>
        </xdr:cNvPr>
        <xdr:cNvSpPr txBox="1"/>
      </xdr:nvSpPr>
      <xdr:spPr>
        <a:xfrm>
          <a:off x="708660" y="79248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r>
            <a:rPr lang="pt-BR" sz="1100" b="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Cadastro</a:t>
          </a:r>
        </a:p>
      </xdr:txBody>
    </xdr:sp>
    <xdr:clientData fPrintsWithSheet="0"/>
  </xdr:twoCellAnchor>
  <xdr:twoCellAnchor editAs="absolute">
    <xdr:from>
      <xdr:col>3</xdr:col>
      <xdr:colOff>245110</xdr:colOff>
      <xdr:row>8</xdr:row>
      <xdr:rowOff>38100</xdr:rowOff>
    </xdr:from>
    <xdr:to>
      <xdr:col>5</xdr:col>
      <xdr:colOff>357910</xdr:colOff>
      <xdr:row>8</xdr:row>
      <xdr:rowOff>302660</xdr:rowOff>
    </xdr:to>
    <xdr:sp macro="" textlink="">
      <xdr:nvSpPr>
        <xdr:cNvPr id="27" name="CaixaDeTexto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DBF4BF1-96AD-4E8B-9D1F-3AAAA2D2EAE6}"/>
            </a:ext>
          </a:extLst>
        </xdr:cNvPr>
        <xdr:cNvSpPr txBox="1"/>
      </xdr:nvSpPr>
      <xdr:spPr>
        <a:xfrm>
          <a:off x="2073910" y="79248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Informações</a:t>
          </a:r>
        </a:p>
      </xdr:txBody>
    </xdr:sp>
    <xdr:clientData fPrintsWithSheet="0"/>
  </xdr:twoCellAnchor>
  <xdr:twoCellAnchor editAs="absolute">
    <xdr:from>
      <xdr:col>5</xdr:col>
      <xdr:colOff>391160</xdr:colOff>
      <xdr:row>8</xdr:row>
      <xdr:rowOff>38100</xdr:rowOff>
    </xdr:from>
    <xdr:to>
      <xdr:col>7</xdr:col>
      <xdr:colOff>503960</xdr:colOff>
      <xdr:row>8</xdr:row>
      <xdr:rowOff>302660</xdr:rowOff>
    </xdr:to>
    <xdr:sp macro="" textlink="">
      <xdr:nvSpPr>
        <xdr:cNvPr id="28" name="CaixaDeTexto 2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2C517080-8AC4-49CF-9E19-AABCB7735163}"/>
            </a:ext>
          </a:extLst>
        </xdr:cNvPr>
        <xdr:cNvSpPr txBox="1"/>
      </xdr:nvSpPr>
      <xdr:spPr>
        <a:xfrm>
          <a:off x="3439160" y="79248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Objetivos</a:t>
          </a:r>
        </a:p>
      </xdr:txBody>
    </xdr:sp>
    <xdr:clientData fPrintsWithSheet="0"/>
  </xdr:twoCellAnchor>
  <xdr:twoCellAnchor editAs="absolute">
    <xdr:from>
      <xdr:col>10</xdr:col>
      <xdr:colOff>73660</xdr:colOff>
      <xdr:row>8</xdr:row>
      <xdr:rowOff>38100</xdr:rowOff>
    </xdr:from>
    <xdr:to>
      <xdr:col>12</xdr:col>
      <xdr:colOff>186460</xdr:colOff>
      <xdr:row>8</xdr:row>
      <xdr:rowOff>302660</xdr:rowOff>
    </xdr:to>
    <xdr:sp macro="" textlink="">
      <xdr:nvSpPr>
        <xdr:cNvPr id="29" name="CaixaDeTexto 2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8360C814-6AAC-4F9D-B913-2108EAFCF22C}"/>
            </a:ext>
          </a:extLst>
        </xdr:cNvPr>
        <xdr:cNvSpPr txBox="1"/>
      </xdr:nvSpPr>
      <xdr:spPr>
        <a:xfrm>
          <a:off x="6169660" y="79248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Foto</a:t>
          </a:r>
        </a:p>
      </xdr:txBody>
    </xdr:sp>
    <xdr:clientData fPrintsWithSheet="0"/>
  </xdr:twoCellAnchor>
  <xdr:twoCellAnchor editAs="absolute">
    <xdr:from>
      <xdr:col>12</xdr:col>
      <xdr:colOff>219710</xdr:colOff>
      <xdr:row>8</xdr:row>
      <xdr:rowOff>38100</xdr:rowOff>
    </xdr:from>
    <xdr:to>
      <xdr:col>14</xdr:col>
      <xdr:colOff>332510</xdr:colOff>
      <xdr:row>8</xdr:row>
      <xdr:rowOff>302660</xdr:rowOff>
    </xdr:to>
    <xdr:sp macro="" textlink="">
      <xdr:nvSpPr>
        <xdr:cNvPr id="30" name="CaixaDeTexto 2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BB036BB-FC8D-4CEE-8199-8C8A9BA111FF}"/>
            </a:ext>
          </a:extLst>
        </xdr:cNvPr>
        <xdr:cNvSpPr txBox="1"/>
      </xdr:nvSpPr>
      <xdr:spPr>
        <a:xfrm>
          <a:off x="7534910" y="79248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Ficha</a:t>
          </a:r>
        </a:p>
      </xdr:txBody>
    </xdr:sp>
    <xdr:clientData fPrintsWithSheet="0"/>
  </xdr:twoCellAnchor>
  <xdr:twoCellAnchor editAs="absolute">
    <xdr:from>
      <xdr:col>14</xdr:col>
      <xdr:colOff>365760</xdr:colOff>
      <xdr:row>8</xdr:row>
      <xdr:rowOff>38100</xdr:rowOff>
    </xdr:from>
    <xdr:to>
      <xdr:col>16</xdr:col>
      <xdr:colOff>478560</xdr:colOff>
      <xdr:row>8</xdr:row>
      <xdr:rowOff>302660</xdr:rowOff>
    </xdr:to>
    <xdr:sp macro="" textlink="">
      <xdr:nvSpPr>
        <xdr:cNvPr id="31" name="CaixaDeTexto 3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67EC9ADB-F451-4348-B453-8DDB7245EA70}"/>
            </a:ext>
          </a:extLst>
        </xdr:cNvPr>
        <xdr:cNvSpPr txBox="1"/>
      </xdr:nvSpPr>
      <xdr:spPr>
        <a:xfrm>
          <a:off x="8900160" y="792480"/>
          <a:ext cx="1332000" cy="264560"/>
        </a:xfrm>
        <a:prstGeom prst="rect">
          <a:avLst/>
        </a:prstGeom>
        <a:solidFill>
          <a:schemeClr val="accent5">
            <a:lumMod val="75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r>
            <a:rPr lang="pt-BR" sz="1100" b="0">
              <a:solidFill>
                <a:schemeClr val="bg1"/>
              </a:solidFill>
              <a:latin typeface="+mn-lt"/>
              <a:ea typeface="+mn-ea"/>
              <a:cs typeface="+mn-cs"/>
            </a:rPr>
            <a:t>Relatório</a:t>
          </a:r>
        </a:p>
      </xdr:txBody>
    </xdr:sp>
    <xdr:clientData fPrintsWithSheet="0"/>
  </xdr:twoCellAnchor>
  <xdr:twoCellAnchor>
    <xdr:from>
      <xdr:col>0</xdr:col>
      <xdr:colOff>342900</xdr:colOff>
      <xdr:row>34</xdr:row>
      <xdr:rowOff>171450</xdr:rowOff>
    </xdr:from>
    <xdr:to>
      <xdr:col>9</xdr:col>
      <xdr:colOff>453390</xdr:colOff>
      <xdr:row>52</xdr:row>
      <xdr:rowOff>148185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EF6B3B62-855A-45DA-9DC2-9B16942FD5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533400</xdr:colOff>
      <xdr:row>34</xdr:row>
      <xdr:rowOff>171450</xdr:rowOff>
    </xdr:from>
    <xdr:to>
      <xdr:col>19</xdr:col>
      <xdr:colOff>53340</xdr:colOff>
      <xdr:row>52</xdr:row>
      <xdr:rowOff>148185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B2F679E8-68E8-40D6-A6E6-C5B28E51BA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744071</xdr:colOff>
      <xdr:row>149</xdr:row>
      <xdr:rowOff>53793</xdr:rowOff>
    </xdr:from>
    <xdr:to>
      <xdr:col>7</xdr:col>
      <xdr:colOff>277906</xdr:colOff>
      <xdr:row>178</xdr:row>
      <xdr:rowOff>34838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83B28C55-0422-4C02-B0EE-2A2F1573A4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9577" y="26463817"/>
          <a:ext cx="7853082" cy="51805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2072640</xdr:colOff>
      <xdr:row>87</xdr:row>
      <xdr:rowOff>114300</xdr:rowOff>
    </xdr:from>
    <xdr:to>
      <xdr:col>7</xdr:col>
      <xdr:colOff>3215640</xdr:colOff>
      <xdr:row>112</xdr:row>
      <xdr:rowOff>5184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4FF777ED-1BE1-4549-A73A-EE41E24A75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2180" y="15666720"/>
          <a:ext cx="9464040" cy="44628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2232660</xdr:colOff>
      <xdr:row>62</xdr:row>
      <xdr:rowOff>83821</xdr:rowOff>
    </xdr:from>
    <xdr:to>
      <xdr:col>7</xdr:col>
      <xdr:colOff>3048000</xdr:colOff>
      <xdr:row>85</xdr:row>
      <xdr:rowOff>121111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3E7BB65F-5822-43A8-90B1-97E820809A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2200" y="11064241"/>
          <a:ext cx="9136380" cy="4243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1043063</xdr:colOff>
      <xdr:row>36</xdr:row>
      <xdr:rowOff>106680</xdr:rowOff>
    </xdr:from>
    <xdr:to>
      <xdr:col>8</xdr:col>
      <xdr:colOff>1086868</xdr:colOff>
      <xdr:row>57</xdr:row>
      <xdr:rowOff>152400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5DCB21AA-EDBC-4891-AEA1-C04C634CD0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2603" y="6240780"/>
          <a:ext cx="11961485" cy="39776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1043940</xdr:colOff>
      <xdr:row>12</xdr:row>
      <xdr:rowOff>14100</xdr:rowOff>
    </xdr:from>
    <xdr:to>
      <xdr:col>8</xdr:col>
      <xdr:colOff>1226820</xdr:colOff>
      <xdr:row>30</xdr:row>
      <xdr:rowOff>106680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4C178AD3-79A5-4FA4-8D16-B11174594B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3480" y="1759080"/>
          <a:ext cx="12100560" cy="338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853440</xdr:colOff>
      <xdr:row>109</xdr:row>
      <xdr:rowOff>129540</xdr:rowOff>
    </xdr:from>
    <xdr:to>
      <xdr:col>7</xdr:col>
      <xdr:colOff>1661160</xdr:colOff>
      <xdr:row>135</xdr:row>
      <xdr:rowOff>68580</xdr:rowOff>
    </xdr:to>
    <xdr:pic>
      <xdr:nvPicPr>
        <xdr:cNvPr id="88" name="Imagem 87">
          <a:extLst>
            <a:ext uri="{FF2B5EF4-FFF2-40B4-BE49-F238E27FC236}">
              <a16:creationId xmlns:a16="http://schemas.microsoft.com/office/drawing/2014/main" id="{183A24A5-FEE6-496C-9C0C-85615E0367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5360" y="19705320"/>
          <a:ext cx="9083040" cy="4693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2453640</xdr:colOff>
      <xdr:row>0</xdr:row>
      <xdr:rowOff>0</xdr:rowOff>
    </xdr:from>
    <xdr:ext cx="653034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D916569-C4FF-4B2F-90FE-CE3EDFB441FB}"/>
            </a:ext>
          </a:extLst>
        </xdr:cNvPr>
        <xdr:cNvSpPr txBox="1"/>
      </xdr:nvSpPr>
      <xdr:spPr>
        <a:xfrm>
          <a:off x="2575560" y="0"/>
          <a:ext cx="653034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Gerador de Personas| </a:t>
          </a:r>
          <a:r>
            <a:rPr lang="pt-BR" sz="2400" b="1">
              <a:solidFill>
                <a:schemeClr val="accent2"/>
              </a:solidFill>
            </a:rPr>
            <a:t>Instruções</a:t>
          </a:r>
        </a:p>
      </xdr:txBody>
    </xdr:sp>
    <xdr:clientData/>
  </xdr:oneCellAnchor>
  <xdr:twoCellAnchor editAs="absolute">
    <xdr:from>
      <xdr:col>1</xdr:col>
      <xdr:colOff>213361</xdr:colOff>
      <xdr:row>0</xdr:row>
      <xdr:rowOff>0</xdr:rowOff>
    </xdr:from>
    <xdr:to>
      <xdr:col>1</xdr:col>
      <xdr:colOff>2164080</xdr:colOff>
      <xdr:row>3</xdr:row>
      <xdr:rowOff>9360</xdr:rowOff>
    </xdr:to>
    <xdr:pic>
      <xdr:nvPicPr>
        <xdr:cNvPr id="3" name="Imagem 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316F75C-6C31-482E-9925-45395B983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1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640080</xdr:colOff>
      <xdr:row>8</xdr:row>
      <xdr:rowOff>19050</xdr:rowOff>
    </xdr:from>
    <xdr:to>
      <xdr:col>1</xdr:col>
      <xdr:colOff>1972080</xdr:colOff>
      <xdr:row>8</xdr:row>
      <xdr:rowOff>283610</xdr:rowOff>
    </xdr:to>
    <xdr:sp macro="" textlink="">
      <xdr:nvSpPr>
        <xdr:cNvPr id="8" name="CaixaDeTexto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4533234D-C738-46E0-A85C-AE7A3533696E}"/>
            </a:ext>
          </a:extLst>
        </xdr:cNvPr>
        <xdr:cNvSpPr txBox="1"/>
      </xdr:nvSpPr>
      <xdr:spPr>
        <a:xfrm>
          <a:off x="762000" y="77343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Acessar a Planilha</a:t>
          </a:r>
        </a:p>
      </xdr:txBody>
    </xdr:sp>
    <xdr:clientData/>
  </xdr:twoCellAnchor>
  <xdr:twoCellAnchor>
    <xdr:from>
      <xdr:col>1</xdr:col>
      <xdr:colOff>929640</xdr:colOff>
      <xdr:row>9</xdr:row>
      <xdr:rowOff>7620</xdr:rowOff>
    </xdr:from>
    <xdr:to>
      <xdr:col>7</xdr:col>
      <xdr:colOff>2887980</xdr:colOff>
      <xdr:row>9</xdr:row>
      <xdr:rowOff>295620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7463556B-BB46-4FC0-99C6-C5937773DC41}"/>
            </a:ext>
          </a:extLst>
        </xdr:cNvPr>
        <xdr:cNvSpPr txBox="1"/>
      </xdr:nvSpPr>
      <xdr:spPr>
        <a:xfrm>
          <a:off x="1051560" y="762000"/>
          <a:ext cx="10233660" cy="288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2"/>
              </a:solidFill>
            </a:rPr>
            <a:t>Instruções</a:t>
          </a:r>
        </a:p>
      </xdr:txBody>
    </xdr:sp>
    <xdr:clientData/>
  </xdr:twoCellAnchor>
  <xdr:twoCellAnchor>
    <xdr:from>
      <xdr:col>1</xdr:col>
      <xdr:colOff>548640</xdr:colOff>
      <xdr:row>14</xdr:row>
      <xdr:rowOff>99060</xdr:rowOff>
    </xdr:from>
    <xdr:to>
      <xdr:col>1</xdr:col>
      <xdr:colOff>1158240</xdr:colOff>
      <xdr:row>15</xdr:row>
      <xdr:rowOff>99060</xdr:rowOff>
    </xdr:to>
    <xdr:cxnSp macro="">
      <xdr:nvCxnSpPr>
        <xdr:cNvPr id="55" name="Conector de Seta Reta 54">
          <a:extLst>
            <a:ext uri="{FF2B5EF4-FFF2-40B4-BE49-F238E27FC236}">
              <a16:creationId xmlns:a16="http://schemas.microsoft.com/office/drawing/2014/main" id="{6DEF11CE-B249-4CA4-89EE-8FAAE9BD73D5}"/>
            </a:ext>
          </a:extLst>
        </xdr:cNvPr>
        <xdr:cNvCxnSpPr>
          <a:stCxn id="56" idx="2"/>
        </xdr:cNvCxnSpPr>
      </xdr:nvCxnSpPr>
      <xdr:spPr>
        <a:xfrm>
          <a:off x="678180" y="2209800"/>
          <a:ext cx="609600" cy="18288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10</xdr:row>
      <xdr:rowOff>167640</xdr:rowOff>
    </xdr:from>
    <xdr:to>
      <xdr:col>1</xdr:col>
      <xdr:colOff>1097280</xdr:colOff>
      <xdr:row>14</xdr:row>
      <xdr:rowOff>99060</xdr:rowOff>
    </xdr:to>
    <xdr:sp macro="" textlink="">
      <xdr:nvSpPr>
        <xdr:cNvPr id="56" name="Retângulo 55">
          <a:extLst>
            <a:ext uri="{FF2B5EF4-FFF2-40B4-BE49-F238E27FC236}">
              <a16:creationId xmlns:a16="http://schemas.microsoft.com/office/drawing/2014/main" id="{FF3D338F-1728-479C-8EF0-53177B354659}"/>
            </a:ext>
          </a:extLst>
        </xdr:cNvPr>
        <xdr:cNvSpPr/>
      </xdr:nvSpPr>
      <xdr:spPr>
        <a:xfrm>
          <a:off x="129540" y="1546860"/>
          <a:ext cx="1097280" cy="66294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Clique na seta azul para voltar ao Menu.</a:t>
          </a:r>
        </a:p>
      </xdr:txBody>
    </xdr:sp>
    <xdr:clientData/>
  </xdr:twoCellAnchor>
  <xdr:twoCellAnchor>
    <xdr:from>
      <xdr:col>5</xdr:col>
      <xdr:colOff>1188721</xdr:colOff>
      <xdr:row>31</xdr:row>
      <xdr:rowOff>91440</xdr:rowOff>
    </xdr:from>
    <xdr:to>
      <xdr:col>7</xdr:col>
      <xdr:colOff>1780195</xdr:colOff>
      <xdr:row>35</xdr:row>
      <xdr:rowOff>100096</xdr:rowOff>
    </xdr:to>
    <xdr:sp macro="" textlink="">
      <xdr:nvSpPr>
        <xdr:cNvPr id="57" name="Retângulo 56">
          <a:extLst>
            <a:ext uri="{FF2B5EF4-FFF2-40B4-BE49-F238E27FC236}">
              <a16:creationId xmlns:a16="http://schemas.microsoft.com/office/drawing/2014/main" id="{AE54DFD5-9B81-45DD-BE8D-643BFF69DCF4}"/>
            </a:ext>
          </a:extLst>
        </xdr:cNvPr>
        <xdr:cNvSpPr/>
      </xdr:nvSpPr>
      <xdr:spPr>
        <a:xfrm>
          <a:off x="8282941" y="5311140"/>
          <a:ext cx="1947834" cy="740176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Preencha os dados de acordo com as</a:t>
          </a:r>
          <a:r>
            <a:rPr lang="pt-BR" sz="1100" baseline="0">
              <a:solidFill>
                <a:schemeClr val="accent2"/>
              </a:solidFill>
            </a:rPr>
            <a:t> informações pedidas para cadastrar a persona.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1066800</xdr:colOff>
      <xdr:row>16</xdr:row>
      <xdr:rowOff>91440</xdr:rowOff>
    </xdr:from>
    <xdr:to>
      <xdr:col>8</xdr:col>
      <xdr:colOff>1264920</xdr:colOff>
      <xdr:row>30</xdr:row>
      <xdr:rowOff>175260</xdr:rowOff>
    </xdr:to>
    <xdr:sp macro="" textlink="">
      <xdr:nvSpPr>
        <xdr:cNvPr id="59" name="Retângulo 58">
          <a:extLst>
            <a:ext uri="{FF2B5EF4-FFF2-40B4-BE49-F238E27FC236}">
              <a16:creationId xmlns:a16="http://schemas.microsoft.com/office/drawing/2014/main" id="{D55B7E25-AB72-4D0A-86DB-DB71B12BE903}"/>
            </a:ext>
          </a:extLst>
        </xdr:cNvPr>
        <xdr:cNvSpPr/>
      </xdr:nvSpPr>
      <xdr:spPr>
        <a:xfrm>
          <a:off x="1196340" y="2567940"/>
          <a:ext cx="12115800" cy="264414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5</xdr:col>
      <xdr:colOff>160020</xdr:colOff>
      <xdr:row>30</xdr:row>
      <xdr:rowOff>175260</xdr:rowOff>
    </xdr:from>
    <xdr:to>
      <xdr:col>7</xdr:col>
      <xdr:colOff>806278</xdr:colOff>
      <xdr:row>31</xdr:row>
      <xdr:rowOff>91440</xdr:rowOff>
    </xdr:to>
    <xdr:cxnSp macro="">
      <xdr:nvCxnSpPr>
        <xdr:cNvPr id="62" name="Conector de Seta Reta 61">
          <a:extLst>
            <a:ext uri="{FF2B5EF4-FFF2-40B4-BE49-F238E27FC236}">
              <a16:creationId xmlns:a16="http://schemas.microsoft.com/office/drawing/2014/main" id="{CA664959-D403-4A11-96FA-8049BE01BE95}"/>
            </a:ext>
          </a:extLst>
        </xdr:cNvPr>
        <xdr:cNvCxnSpPr>
          <a:stCxn id="57" idx="0"/>
          <a:endCxn id="59" idx="2"/>
        </xdr:cNvCxnSpPr>
      </xdr:nvCxnSpPr>
      <xdr:spPr>
        <a:xfrm flipH="1" flipV="1">
          <a:off x="7254240" y="5212080"/>
          <a:ext cx="2002618" cy="990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22860</xdr:colOff>
      <xdr:row>11</xdr:row>
      <xdr:rowOff>99060</xdr:rowOff>
    </xdr:from>
    <xdr:to>
      <xdr:col>7</xdr:col>
      <xdr:colOff>2156460</xdr:colOff>
      <xdr:row>16</xdr:row>
      <xdr:rowOff>15240</xdr:rowOff>
    </xdr:to>
    <xdr:sp macro="" textlink="">
      <xdr:nvSpPr>
        <xdr:cNvPr id="69" name="Retângulo 68">
          <a:extLst>
            <a:ext uri="{FF2B5EF4-FFF2-40B4-BE49-F238E27FC236}">
              <a16:creationId xmlns:a16="http://schemas.microsoft.com/office/drawing/2014/main" id="{D3DF6830-DEC3-4C84-B00E-EF78B8689401}"/>
            </a:ext>
          </a:extLst>
        </xdr:cNvPr>
        <xdr:cNvSpPr/>
      </xdr:nvSpPr>
      <xdr:spPr>
        <a:xfrm>
          <a:off x="8473440" y="1661160"/>
          <a:ext cx="2133600" cy="83058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</a:t>
          </a:r>
          <a:r>
            <a:rPr lang="pt-BR" sz="1100" baseline="0">
              <a:solidFill>
                <a:schemeClr val="accent2"/>
              </a:solidFill>
            </a:rPr>
            <a:t> os botões para navegar na planilha.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723900</xdr:colOff>
      <xdr:row>58</xdr:row>
      <xdr:rowOff>30480</xdr:rowOff>
    </xdr:from>
    <xdr:to>
      <xdr:col>8</xdr:col>
      <xdr:colOff>243840</xdr:colOff>
      <xdr:row>62</xdr:row>
      <xdr:rowOff>45720</xdr:rowOff>
    </xdr:to>
    <xdr:sp macro="" textlink="">
      <xdr:nvSpPr>
        <xdr:cNvPr id="81" name="Retângulo 80">
          <a:extLst>
            <a:ext uri="{FF2B5EF4-FFF2-40B4-BE49-F238E27FC236}">
              <a16:creationId xmlns:a16="http://schemas.microsoft.com/office/drawing/2014/main" id="{993540C8-DA02-49C2-849C-6752586E2FE5}"/>
            </a:ext>
          </a:extLst>
        </xdr:cNvPr>
        <xdr:cNvSpPr/>
      </xdr:nvSpPr>
      <xdr:spPr>
        <a:xfrm>
          <a:off x="9174480" y="10279380"/>
          <a:ext cx="3116580" cy="7467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Insira as informações relacionadas às personas cadastradas</a:t>
          </a:r>
          <a:r>
            <a:rPr lang="pt-BR" sz="1100" baseline="0">
              <a:solidFill>
                <a:schemeClr val="accent2"/>
              </a:solidFill>
            </a:rPr>
            <a:t>, local de trabalho e quais mídias sociais mais usam.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2</xdr:col>
      <xdr:colOff>1120140</xdr:colOff>
      <xdr:row>41</xdr:row>
      <xdr:rowOff>129540</xdr:rowOff>
    </xdr:from>
    <xdr:to>
      <xdr:col>8</xdr:col>
      <xdr:colOff>1059180</xdr:colOff>
      <xdr:row>57</xdr:row>
      <xdr:rowOff>114300</xdr:rowOff>
    </xdr:to>
    <xdr:sp macro="" textlink="">
      <xdr:nvSpPr>
        <xdr:cNvPr id="82" name="Retângulo 81">
          <a:extLst>
            <a:ext uri="{FF2B5EF4-FFF2-40B4-BE49-F238E27FC236}">
              <a16:creationId xmlns:a16="http://schemas.microsoft.com/office/drawing/2014/main" id="{74A6BD75-470E-4CC1-BB22-9EF3DC17186A}"/>
            </a:ext>
          </a:extLst>
        </xdr:cNvPr>
        <xdr:cNvSpPr/>
      </xdr:nvSpPr>
      <xdr:spPr>
        <a:xfrm>
          <a:off x="4053840" y="7216140"/>
          <a:ext cx="9052560" cy="296418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129540</xdr:colOff>
      <xdr:row>57</xdr:row>
      <xdr:rowOff>114300</xdr:rowOff>
    </xdr:from>
    <xdr:to>
      <xdr:col>7</xdr:col>
      <xdr:colOff>723900</xdr:colOff>
      <xdr:row>60</xdr:row>
      <xdr:rowOff>38100</xdr:rowOff>
    </xdr:to>
    <xdr:cxnSp macro="">
      <xdr:nvCxnSpPr>
        <xdr:cNvPr id="83" name="Conector de Seta Reta 82">
          <a:extLst>
            <a:ext uri="{FF2B5EF4-FFF2-40B4-BE49-F238E27FC236}">
              <a16:creationId xmlns:a16="http://schemas.microsoft.com/office/drawing/2014/main" id="{DD3752B8-50AB-45F6-98B8-AB72082B3A8C}"/>
            </a:ext>
          </a:extLst>
        </xdr:cNvPr>
        <xdr:cNvCxnSpPr>
          <a:stCxn id="81" idx="1"/>
          <a:endCxn id="82" idx="2"/>
        </xdr:cNvCxnSpPr>
      </xdr:nvCxnSpPr>
      <xdr:spPr>
        <a:xfrm flipH="1" flipV="1">
          <a:off x="8580120" y="10180320"/>
          <a:ext cx="594360" cy="47244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2286000</xdr:colOff>
      <xdr:row>79</xdr:row>
      <xdr:rowOff>15240</xdr:rowOff>
    </xdr:from>
    <xdr:to>
      <xdr:col>7</xdr:col>
      <xdr:colOff>1409700</xdr:colOff>
      <xdr:row>83</xdr:row>
      <xdr:rowOff>68580</xdr:rowOff>
    </xdr:to>
    <xdr:sp macro="" textlink="">
      <xdr:nvSpPr>
        <xdr:cNvPr id="93" name="Retângulo 92">
          <a:extLst>
            <a:ext uri="{FF2B5EF4-FFF2-40B4-BE49-F238E27FC236}">
              <a16:creationId xmlns:a16="http://schemas.microsoft.com/office/drawing/2014/main" id="{5A2A84E5-569F-4BE2-AAC7-C9D12B90F2C6}"/>
            </a:ext>
          </a:extLst>
        </xdr:cNvPr>
        <xdr:cNvSpPr/>
      </xdr:nvSpPr>
      <xdr:spPr>
        <a:xfrm>
          <a:off x="6576060" y="14104620"/>
          <a:ext cx="3284220" cy="7848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Insira os principais objetivos e principais problemas/desafios referente às personas cadastradas.</a:t>
          </a:r>
        </a:p>
      </xdr:txBody>
    </xdr:sp>
    <xdr:clientData/>
  </xdr:twoCellAnchor>
  <xdr:twoCellAnchor>
    <xdr:from>
      <xdr:col>4</xdr:col>
      <xdr:colOff>1143000</xdr:colOff>
      <xdr:row>72</xdr:row>
      <xdr:rowOff>38100</xdr:rowOff>
    </xdr:from>
    <xdr:to>
      <xdr:col>7</xdr:col>
      <xdr:colOff>2903220</xdr:colOff>
      <xdr:row>77</xdr:row>
      <xdr:rowOff>114300</xdr:rowOff>
    </xdr:to>
    <xdr:sp macro="" textlink="">
      <xdr:nvSpPr>
        <xdr:cNvPr id="94" name="Retângulo 93">
          <a:extLst>
            <a:ext uri="{FF2B5EF4-FFF2-40B4-BE49-F238E27FC236}">
              <a16:creationId xmlns:a16="http://schemas.microsoft.com/office/drawing/2014/main" id="{624D0733-16B8-41DF-A315-29BE42C43EA8}"/>
            </a:ext>
          </a:extLst>
        </xdr:cNvPr>
        <xdr:cNvSpPr/>
      </xdr:nvSpPr>
      <xdr:spPr>
        <a:xfrm>
          <a:off x="5433060" y="12847320"/>
          <a:ext cx="5920740" cy="99060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5</xdr:col>
      <xdr:colOff>1123950</xdr:colOff>
      <xdr:row>77</xdr:row>
      <xdr:rowOff>114300</xdr:rowOff>
    </xdr:from>
    <xdr:to>
      <xdr:col>6</xdr:col>
      <xdr:colOff>72390</xdr:colOff>
      <xdr:row>79</xdr:row>
      <xdr:rowOff>15240</xdr:rowOff>
    </xdr:to>
    <xdr:cxnSp macro="">
      <xdr:nvCxnSpPr>
        <xdr:cNvPr id="98" name="Conector de Seta Reta 97">
          <a:extLst>
            <a:ext uri="{FF2B5EF4-FFF2-40B4-BE49-F238E27FC236}">
              <a16:creationId xmlns:a16="http://schemas.microsoft.com/office/drawing/2014/main" id="{1505EFB3-C99D-4CB9-BB2C-97B186D7B915}"/>
            </a:ext>
          </a:extLst>
        </xdr:cNvPr>
        <xdr:cNvCxnSpPr>
          <a:stCxn id="93" idx="0"/>
          <a:endCxn id="94" idx="2"/>
        </xdr:cNvCxnSpPr>
      </xdr:nvCxnSpPr>
      <xdr:spPr>
        <a:xfrm flipV="1">
          <a:off x="8218170" y="13837920"/>
          <a:ext cx="175260" cy="26670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2773680</xdr:colOff>
      <xdr:row>104</xdr:row>
      <xdr:rowOff>121920</xdr:rowOff>
    </xdr:from>
    <xdr:to>
      <xdr:col>7</xdr:col>
      <xdr:colOff>1470660</xdr:colOff>
      <xdr:row>109</xdr:row>
      <xdr:rowOff>38100</xdr:rowOff>
    </xdr:to>
    <xdr:sp macro="" textlink="">
      <xdr:nvSpPr>
        <xdr:cNvPr id="117" name="Retângulo 116">
          <a:extLst>
            <a:ext uri="{FF2B5EF4-FFF2-40B4-BE49-F238E27FC236}">
              <a16:creationId xmlns:a16="http://schemas.microsoft.com/office/drawing/2014/main" id="{2C040574-605D-4BD9-B331-BC9D147EB33D}"/>
            </a:ext>
          </a:extLst>
        </xdr:cNvPr>
        <xdr:cNvSpPr/>
      </xdr:nvSpPr>
      <xdr:spPr>
        <a:xfrm>
          <a:off x="7063740" y="18783300"/>
          <a:ext cx="2857500" cy="83058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Insira como sua empresa pode ajudar a persona cadastrada nos objetivos e problemas/desafios.</a:t>
          </a:r>
        </a:p>
      </xdr:txBody>
    </xdr:sp>
    <xdr:clientData/>
  </xdr:twoCellAnchor>
  <xdr:twoCellAnchor>
    <xdr:from>
      <xdr:col>4</xdr:col>
      <xdr:colOff>1112520</xdr:colOff>
      <xdr:row>98</xdr:row>
      <xdr:rowOff>15240</xdr:rowOff>
    </xdr:from>
    <xdr:to>
      <xdr:col>7</xdr:col>
      <xdr:colOff>3124200</xdr:colOff>
      <xdr:row>103</xdr:row>
      <xdr:rowOff>53340</xdr:rowOff>
    </xdr:to>
    <xdr:sp macro="" textlink="">
      <xdr:nvSpPr>
        <xdr:cNvPr id="118" name="Retângulo 117">
          <a:extLst>
            <a:ext uri="{FF2B5EF4-FFF2-40B4-BE49-F238E27FC236}">
              <a16:creationId xmlns:a16="http://schemas.microsoft.com/office/drawing/2014/main" id="{C1721DB7-8406-4C03-A647-F8DAA6DAFEE3}"/>
            </a:ext>
          </a:extLst>
        </xdr:cNvPr>
        <xdr:cNvSpPr/>
      </xdr:nvSpPr>
      <xdr:spPr>
        <a:xfrm>
          <a:off x="5402580" y="17579340"/>
          <a:ext cx="6172200" cy="95250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38100</xdr:colOff>
      <xdr:row>103</xdr:row>
      <xdr:rowOff>53340</xdr:rowOff>
    </xdr:from>
    <xdr:to>
      <xdr:col>7</xdr:col>
      <xdr:colOff>41910</xdr:colOff>
      <xdr:row>104</xdr:row>
      <xdr:rowOff>121920</xdr:rowOff>
    </xdr:to>
    <xdr:cxnSp macro="">
      <xdr:nvCxnSpPr>
        <xdr:cNvPr id="119" name="Conector de Seta Reta 118">
          <a:extLst>
            <a:ext uri="{FF2B5EF4-FFF2-40B4-BE49-F238E27FC236}">
              <a16:creationId xmlns:a16="http://schemas.microsoft.com/office/drawing/2014/main" id="{26255483-A6DD-4516-A736-0E4A81C15E52}"/>
            </a:ext>
          </a:extLst>
        </xdr:cNvPr>
        <xdr:cNvCxnSpPr>
          <a:stCxn id="117" idx="0"/>
          <a:endCxn id="118" idx="2"/>
        </xdr:cNvCxnSpPr>
      </xdr:nvCxnSpPr>
      <xdr:spPr>
        <a:xfrm flipH="1" flipV="1">
          <a:off x="8488680" y="18531840"/>
          <a:ext cx="3810" cy="2514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60960</xdr:colOff>
      <xdr:row>8</xdr:row>
      <xdr:rowOff>30480</xdr:rowOff>
    </xdr:from>
    <xdr:to>
      <xdr:col>1</xdr:col>
      <xdr:colOff>492960</xdr:colOff>
      <xdr:row>8</xdr:row>
      <xdr:rowOff>296880</xdr:rowOff>
    </xdr:to>
    <xdr:sp macro="" textlink="">
      <xdr:nvSpPr>
        <xdr:cNvPr id="46" name="Seta: para a Direita 4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35BCC8A-0408-4214-B47B-06A292214DC4}"/>
            </a:ext>
          </a:extLst>
        </xdr:cNvPr>
        <xdr:cNvSpPr/>
      </xdr:nvSpPr>
      <xdr:spPr>
        <a:xfrm flipH="1">
          <a:off x="182880" y="78486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1463040</xdr:colOff>
      <xdr:row>14</xdr:row>
      <xdr:rowOff>129540</xdr:rowOff>
    </xdr:from>
    <xdr:to>
      <xdr:col>5</xdr:col>
      <xdr:colOff>876300</xdr:colOff>
      <xdr:row>16</xdr:row>
      <xdr:rowOff>22860</xdr:rowOff>
    </xdr:to>
    <xdr:sp macro="" textlink="">
      <xdr:nvSpPr>
        <xdr:cNvPr id="60" name="Retângulo 59">
          <a:extLst>
            <a:ext uri="{FF2B5EF4-FFF2-40B4-BE49-F238E27FC236}">
              <a16:creationId xmlns:a16="http://schemas.microsoft.com/office/drawing/2014/main" id="{7AF2C269-4C30-4091-B5A2-1EB355BB32F1}"/>
            </a:ext>
          </a:extLst>
        </xdr:cNvPr>
        <xdr:cNvSpPr/>
      </xdr:nvSpPr>
      <xdr:spPr>
        <a:xfrm>
          <a:off x="1592580" y="2240280"/>
          <a:ext cx="6377940" cy="25908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5</xdr:col>
      <xdr:colOff>876300</xdr:colOff>
      <xdr:row>13</xdr:row>
      <xdr:rowOff>148590</xdr:rowOff>
    </xdr:from>
    <xdr:to>
      <xdr:col>7</xdr:col>
      <xdr:colOff>22860</xdr:colOff>
      <xdr:row>15</xdr:row>
      <xdr:rowOff>76200</xdr:rowOff>
    </xdr:to>
    <xdr:cxnSp macro="">
      <xdr:nvCxnSpPr>
        <xdr:cNvPr id="61" name="Conector de Seta Reta 60">
          <a:extLst>
            <a:ext uri="{FF2B5EF4-FFF2-40B4-BE49-F238E27FC236}">
              <a16:creationId xmlns:a16="http://schemas.microsoft.com/office/drawing/2014/main" id="{4033EA38-5939-4619-9FE7-83A515C81036}"/>
            </a:ext>
          </a:extLst>
        </xdr:cNvPr>
        <xdr:cNvCxnSpPr>
          <a:stCxn id="69" idx="1"/>
          <a:endCxn id="60" idx="3"/>
        </xdr:cNvCxnSpPr>
      </xdr:nvCxnSpPr>
      <xdr:spPr>
        <a:xfrm flipH="1">
          <a:off x="7970520" y="2076450"/>
          <a:ext cx="502920" cy="29337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2560320</xdr:colOff>
      <xdr:row>116</xdr:row>
      <xdr:rowOff>144780</xdr:rowOff>
    </xdr:from>
    <xdr:to>
      <xdr:col>7</xdr:col>
      <xdr:colOff>594360</xdr:colOff>
      <xdr:row>124</xdr:row>
      <xdr:rowOff>22860</xdr:rowOff>
    </xdr:to>
    <xdr:sp macro="" textlink="">
      <xdr:nvSpPr>
        <xdr:cNvPr id="97" name="Retângulo 96">
          <a:extLst>
            <a:ext uri="{FF2B5EF4-FFF2-40B4-BE49-F238E27FC236}">
              <a16:creationId xmlns:a16="http://schemas.microsoft.com/office/drawing/2014/main" id="{6810C2E2-B6B5-45AE-BAC8-5F4025937F6C}"/>
            </a:ext>
          </a:extLst>
        </xdr:cNvPr>
        <xdr:cNvSpPr/>
      </xdr:nvSpPr>
      <xdr:spPr>
        <a:xfrm>
          <a:off x="6819900" y="21000720"/>
          <a:ext cx="2171700" cy="13411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Insira uma foto ou uma imagem que melhor represente</a:t>
          </a:r>
          <a:r>
            <a:rPr lang="pt-BR" sz="1100" baseline="0">
              <a:solidFill>
                <a:schemeClr val="accent2"/>
              </a:solidFill>
            </a:rPr>
            <a:t> a persona cadastrada.</a:t>
          </a:r>
        </a:p>
      </xdr:txBody>
    </xdr:sp>
    <xdr:clientData/>
  </xdr:twoCellAnchor>
  <xdr:twoCellAnchor>
    <xdr:from>
      <xdr:col>3</xdr:col>
      <xdr:colOff>7620</xdr:colOff>
      <xdr:row>118</xdr:row>
      <xdr:rowOff>167640</xdr:rowOff>
    </xdr:from>
    <xdr:to>
      <xdr:col>4</xdr:col>
      <xdr:colOff>2430780</xdr:colOff>
      <xdr:row>135</xdr:row>
      <xdr:rowOff>175260</xdr:rowOff>
    </xdr:to>
    <xdr:sp macro="" textlink="">
      <xdr:nvSpPr>
        <xdr:cNvPr id="105" name="Retângulo 104">
          <a:extLst>
            <a:ext uri="{FF2B5EF4-FFF2-40B4-BE49-F238E27FC236}">
              <a16:creationId xmlns:a16="http://schemas.microsoft.com/office/drawing/2014/main" id="{88C8C209-170E-44D5-877E-81EA0F57EA48}"/>
            </a:ext>
          </a:extLst>
        </xdr:cNvPr>
        <xdr:cNvSpPr/>
      </xdr:nvSpPr>
      <xdr:spPr>
        <a:xfrm>
          <a:off x="4145280" y="21389340"/>
          <a:ext cx="2545080" cy="311658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2430780</xdr:colOff>
      <xdr:row>124</xdr:row>
      <xdr:rowOff>22860</xdr:rowOff>
    </xdr:from>
    <xdr:to>
      <xdr:col>5</xdr:col>
      <xdr:colOff>849630</xdr:colOff>
      <xdr:row>127</xdr:row>
      <xdr:rowOff>80010</xdr:rowOff>
    </xdr:to>
    <xdr:cxnSp macro="">
      <xdr:nvCxnSpPr>
        <xdr:cNvPr id="106" name="Conector de Seta Reta 105">
          <a:extLst>
            <a:ext uri="{FF2B5EF4-FFF2-40B4-BE49-F238E27FC236}">
              <a16:creationId xmlns:a16="http://schemas.microsoft.com/office/drawing/2014/main" id="{6B62F40D-0411-4B01-9E2E-ACB17FF68EF1}"/>
            </a:ext>
          </a:extLst>
        </xdr:cNvPr>
        <xdr:cNvCxnSpPr>
          <a:stCxn id="97" idx="2"/>
          <a:endCxn id="105" idx="3"/>
        </xdr:cNvCxnSpPr>
      </xdr:nvCxnSpPr>
      <xdr:spPr>
        <a:xfrm flipH="1">
          <a:off x="6690360" y="22341840"/>
          <a:ext cx="1215390" cy="60579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71718</xdr:colOff>
      <xdr:row>143</xdr:row>
      <xdr:rowOff>169437</xdr:rowOff>
    </xdr:from>
    <xdr:to>
      <xdr:col>1</xdr:col>
      <xdr:colOff>1963271</xdr:colOff>
      <xdr:row>148</xdr:row>
      <xdr:rowOff>131338</xdr:rowOff>
    </xdr:to>
    <xdr:sp macro="" textlink="">
      <xdr:nvSpPr>
        <xdr:cNvPr id="85" name="Retângulo 84">
          <a:extLst>
            <a:ext uri="{FF2B5EF4-FFF2-40B4-BE49-F238E27FC236}">
              <a16:creationId xmlns:a16="http://schemas.microsoft.com/office/drawing/2014/main" id="{A7B95E7C-CF17-45DA-A46D-01C710D3AAB4}"/>
            </a:ext>
          </a:extLst>
        </xdr:cNvPr>
        <xdr:cNvSpPr/>
      </xdr:nvSpPr>
      <xdr:spPr>
        <a:xfrm>
          <a:off x="71718" y="25503696"/>
          <a:ext cx="2017059" cy="85837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Selecione a persona desejada para visualizar sua ficha</a:t>
          </a:r>
          <a:r>
            <a:rPr lang="pt-BR" sz="1100" baseline="0">
              <a:solidFill>
                <a:schemeClr val="accent2"/>
              </a:solidFill>
            </a:rPr>
            <a:t> completa.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708213</xdr:colOff>
      <xdr:row>154</xdr:row>
      <xdr:rowOff>71723</xdr:rowOff>
    </xdr:from>
    <xdr:to>
      <xdr:col>2</xdr:col>
      <xdr:colOff>923366</xdr:colOff>
      <xdr:row>155</xdr:row>
      <xdr:rowOff>116546</xdr:rowOff>
    </xdr:to>
    <xdr:sp macro="" textlink="">
      <xdr:nvSpPr>
        <xdr:cNvPr id="86" name="Retângulo 85">
          <a:extLst>
            <a:ext uri="{FF2B5EF4-FFF2-40B4-BE49-F238E27FC236}">
              <a16:creationId xmlns:a16="http://schemas.microsoft.com/office/drawing/2014/main" id="{3E2B7852-0639-4164-96BA-89E0801BB38E}"/>
            </a:ext>
          </a:extLst>
        </xdr:cNvPr>
        <xdr:cNvSpPr/>
      </xdr:nvSpPr>
      <xdr:spPr>
        <a:xfrm>
          <a:off x="833719" y="27378217"/>
          <a:ext cx="3021106" cy="224117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708213</xdr:colOff>
      <xdr:row>148</xdr:row>
      <xdr:rowOff>131338</xdr:rowOff>
    </xdr:from>
    <xdr:to>
      <xdr:col>1</xdr:col>
      <xdr:colOff>954742</xdr:colOff>
      <xdr:row>155</xdr:row>
      <xdr:rowOff>4488</xdr:rowOff>
    </xdr:to>
    <xdr:cxnSp macro="">
      <xdr:nvCxnSpPr>
        <xdr:cNvPr id="87" name="Conector de Seta Reta 86">
          <a:extLst>
            <a:ext uri="{FF2B5EF4-FFF2-40B4-BE49-F238E27FC236}">
              <a16:creationId xmlns:a16="http://schemas.microsoft.com/office/drawing/2014/main" id="{737FB1F8-629D-4013-9195-6FA081EDC0A4}"/>
            </a:ext>
          </a:extLst>
        </xdr:cNvPr>
        <xdr:cNvCxnSpPr>
          <a:stCxn id="85" idx="2"/>
          <a:endCxn id="86" idx="1"/>
        </xdr:cNvCxnSpPr>
      </xdr:nvCxnSpPr>
      <xdr:spPr>
        <a:xfrm flipH="1">
          <a:off x="833719" y="26362067"/>
          <a:ext cx="246529" cy="1128209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115195</xdr:colOff>
      <xdr:row>179</xdr:row>
      <xdr:rowOff>108474</xdr:rowOff>
    </xdr:from>
    <xdr:to>
      <xdr:col>2</xdr:col>
      <xdr:colOff>1098175</xdr:colOff>
      <xdr:row>184</xdr:row>
      <xdr:rowOff>70374</xdr:rowOff>
    </xdr:to>
    <xdr:sp macro="" textlink="">
      <xdr:nvSpPr>
        <xdr:cNvPr id="90" name="Retângulo 89">
          <a:extLst>
            <a:ext uri="{FF2B5EF4-FFF2-40B4-BE49-F238E27FC236}">
              <a16:creationId xmlns:a16="http://schemas.microsoft.com/office/drawing/2014/main" id="{A1E604A8-47ED-4989-BC06-836094DD9296}"/>
            </a:ext>
          </a:extLst>
        </xdr:cNvPr>
        <xdr:cNvSpPr/>
      </xdr:nvSpPr>
      <xdr:spPr>
        <a:xfrm>
          <a:off x="240701" y="31897321"/>
          <a:ext cx="3788933" cy="85837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 a tela Relatório para visualizar</a:t>
          </a:r>
          <a:r>
            <a:rPr lang="pt-BR" sz="1100" baseline="0">
              <a:solidFill>
                <a:schemeClr val="accent2"/>
              </a:solidFill>
            </a:rPr>
            <a:t> maiores informações dos cadastros realizados.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 editAs="oneCell">
    <xdr:from>
      <xdr:col>7</xdr:col>
      <xdr:colOff>967740</xdr:colOff>
      <xdr:row>125</xdr:row>
      <xdr:rowOff>7620</xdr:rowOff>
    </xdr:from>
    <xdr:to>
      <xdr:col>7</xdr:col>
      <xdr:colOff>3261360</xdr:colOff>
      <xdr:row>142</xdr:row>
      <xdr:rowOff>91440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254BF4CB-9D33-4055-BDBB-C1492E2BCE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64980" y="22509480"/>
          <a:ext cx="2293620" cy="3192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845820</xdr:colOff>
      <xdr:row>124</xdr:row>
      <xdr:rowOff>76200</xdr:rowOff>
    </xdr:from>
    <xdr:to>
      <xdr:col>7</xdr:col>
      <xdr:colOff>3390900</xdr:colOff>
      <xdr:row>142</xdr:row>
      <xdr:rowOff>121920</xdr:rowOff>
    </xdr:to>
    <xdr:sp macro="" textlink="">
      <xdr:nvSpPr>
        <xdr:cNvPr id="100" name="Retângulo 99">
          <a:extLst>
            <a:ext uri="{FF2B5EF4-FFF2-40B4-BE49-F238E27FC236}">
              <a16:creationId xmlns:a16="http://schemas.microsoft.com/office/drawing/2014/main" id="{29D6FFBA-9C89-4BA9-94F1-D64808296D26}"/>
            </a:ext>
          </a:extLst>
        </xdr:cNvPr>
        <xdr:cNvSpPr/>
      </xdr:nvSpPr>
      <xdr:spPr>
        <a:xfrm>
          <a:off x="9243060" y="22395180"/>
          <a:ext cx="2545080" cy="333756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60960</xdr:colOff>
      <xdr:row>136</xdr:row>
      <xdr:rowOff>76200</xdr:rowOff>
    </xdr:from>
    <xdr:to>
      <xdr:col>7</xdr:col>
      <xdr:colOff>731520</xdr:colOff>
      <xdr:row>142</xdr:row>
      <xdr:rowOff>129540</xdr:rowOff>
    </xdr:to>
    <xdr:sp macro="" textlink="">
      <xdr:nvSpPr>
        <xdr:cNvPr id="104" name="Retângulo 103">
          <a:extLst>
            <a:ext uri="{FF2B5EF4-FFF2-40B4-BE49-F238E27FC236}">
              <a16:creationId xmlns:a16="http://schemas.microsoft.com/office/drawing/2014/main" id="{6FA097CA-A146-4BFE-BDDD-4A04933810E3}"/>
            </a:ext>
          </a:extLst>
        </xdr:cNvPr>
        <xdr:cNvSpPr/>
      </xdr:nvSpPr>
      <xdr:spPr>
        <a:xfrm>
          <a:off x="4320540" y="24589740"/>
          <a:ext cx="4808220" cy="11506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aseline="0">
              <a:solidFill>
                <a:schemeClr val="accent2"/>
              </a:solidFill>
            </a:rPr>
            <a:t>Clique na célula onde deseja inserir a imagem e depois clique em Inserir, Ilustrações, Imagens, Estre Dispositivo, caso a imagem esteja armazenada em seu computador.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2465070</xdr:colOff>
      <xdr:row>133</xdr:row>
      <xdr:rowOff>99060</xdr:rowOff>
    </xdr:from>
    <xdr:to>
      <xdr:col>7</xdr:col>
      <xdr:colOff>845820</xdr:colOff>
      <xdr:row>136</xdr:row>
      <xdr:rowOff>76200</xdr:rowOff>
    </xdr:to>
    <xdr:cxnSp macro="">
      <xdr:nvCxnSpPr>
        <xdr:cNvPr id="107" name="Conector de Seta Reta 106">
          <a:extLst>
            <a:ext uri="{FF2B5EF4-FFF2-40B4-BE49-F238E27FC236}">
              <a16:creationId xmlns:a16="http://schemas.microsoft.com/office/drawing/2014/main" id="{FB86005D-0770-490B-A9AC-78E5C9A4C579}"/>
            </a:ext>
          </a:extLst>
        </xdr:cNvPr>
        <xdr:cNvCxnSpPr>
          <a:stCxn id="104" idx="0"/>
          <a:endCxn id="100" idx="1"/>
        </xdr:cNvCxnSpPr>
      </xdr:nvCxnSpPr>
      <xdr:spPr>
        <a:xfrm flipV="1">
          <a:off x="6724650" y="24063960"/>
          <a:ext cx="2518410" cy="52578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627529</xdr:colOff>
      <xdr:row>151</xdr:row>
      <xdr:rowOff>176609</xdr:rowOff>
    </xdr:from>
    <xdr:to>
      <xdr:col>7</xdr:col>
      <xdr:colOff>3050689</xdr:colOff>
      <xdr:row>156</xdr:row>
      <xdr:rowOff>100410</xdr:rowOff>
    </xdr:to>
    <xdr:sp macro="" textlink="">
      <xdr:nvSpPr>
        <xdr:cNvPr id="115" name="Retângulo 114">
          <a:extLst>
            <a:ext uri="{FF2B5EF4-FFF2-40B4-BE49-F238E27FC236}">
              <a16:creationId xmlns:a16="http://schemas.microsoft.com/office/drawing/2014/main" id="{FEAB31DC-7A13-43D4-A66B-87DC5D5A31F5}"/>
            </a:ext>
          </a:extLst>
        </xdr:cNvPr>
        <xdr:cNvSpPr/>
      </xdr:nvSpPr>
      <xdr:spPr>
        <a:xfrm>
          <a:off x="9072282" y="26945221"/>
          <a:ext cx="2423160" cy="82027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</a:t>
          </a:r>
          <a:r>
            <a:rPr lang="pt-BR" sz="1100" baseline="0">
              <a:solidFill>
                <a:schemeClr val="accent2"/>
              </a:solidFill>
            </a:rPr>
            <a:t> o botão Imprimir para visualizar a impressão da ficha.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98612</xdr:colOff>
      <xdr:row>153</xdr:row>
      <xdr:rowOff>8970</xdr:rowOff>
    </xdr:from>
    <xdr:to>
      <xdr:col>7</xdr:col>
      <xdr:colOff>627529</xdr:colOff>
      <xdr:row>154</xdr:row>
      <xdr:rowOff>48863</xdr:rowOff>
    </xdr:to>
    <xdr:cxnSp macro="">
      <xdr:nvCxnSpPr>
        <xdr:cNvPr id="120" name="Conector de Seta Reta 119">
          <a:extLst>
            <a:ext uri="{FF2B5EF4-FFF2-40B4-BE49-F238E27FC236}">
              <a16:creationId xmlns:a16="http://schemas.microsoft.com/office/drawing/2014/main" id="{532D3921-815C-4743-8C08-B92FB515DD46}"/>
            </a:ext>
          </a:extLst>
        </xdr:cNvPr>
        <xdr:cNvCxnSpPr>
          <a:cxnSpLocks/>
          <a:stCxn id="115" idx="1"/>
        </xdr:cNvCxnSpPr>
      </xdr:nvCxnSpPr>
      <xdr:spPr>
        <a:xfrm flipH="1" flipV="1">
          <a:off x="8543365" y="27136170"/>
          <a:ext cx="528917" cy="219187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842682</xdr:colOff>
      <xdr:row>185</xdr:row>
      <xdr:rowOff>35859</xdr:rowOff>
    </xdr:from>
    <xdr:to>
      <xdr:col>7</xdr:col>
      <xdr:colOff>717176</xdr:colOff>
      <xdr:row>218</xdr:row>
      <xdr:rowOff>149951</xdr:rowOff>
    </xdr:to>
    <xdr:pic>
      <xdr:nvPicPr>
        <xdr:cNvPr id="113" name="Imagem 112">
          <a:extLst>
            <a:ext uri="{FF2B5EF4-FFF2-40B4-BE49-F238E27FC236}">
              <a16:creationId xmlns:a16="http://schemas.microsoft.com/office/drawing/2014/main" id="{19A2D891-364A-411D-8080-2B31EADC6F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8188" y="32900471"/>
          <a:ext cx="8193741" cy="60845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CEF0D-B4D2-4137-B13A-D56824AC1D90}">
  <sheetPr codeName="Planilha1">
    <tabColor theme="8" tint="-0.499984740745262"/>
  </sheetPr>
  <dimension ref="A1:V33"/>
  <sheetViews>
    <sheetView showGridLines="0" showRowColHeaders="0" zoomScale="90" zoomScaleNormal="90" workbookViewId="0"/>
  </sheetViews>
  <sheetFormatPr defaultColWidth="0" defaultRowHeight="14.5" zeroHeight="1" x14ac:dyDescent="0.35"/>
  <cols>
    <col min="1" max="22" width="8.81640625" customWidth="1"/>
    <col min="23" max="16384" width="8.81640625" hidden="1"/>
  </cols>
  <sheetData>
    <row r="1" s="2" customFormat="1" x14ac:dyDescent="0.35"/>
    <row r="2" s="2" customFormat="1" x14ac:dyDescent="0.35"/>
    <row r="3" s="2" customFormat="1" x14ac:dyDescent="0.35"/>
    <row r="4" ht="2.15" customHeight="1" x14ac:dyDescent="0.35"/>
    <row r="5" s="1" customFormat="1" ht="5.15" customHeight="1" x14ac:dyDescent="0.35"/>
    <row r="6" ht="3" customHeight="1" x14ac:dyDescent="0.35"/>
    <row r="7" s="1" customFormat="1" ht="5.15" customHeight="1" x14ac:dyDescent="0.35"/>
    <row r="8" ht="2.15" customHeight="1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x14ac:dyDescent="0.35"/>
    <row r="18" x14ac:dyDescent="0.35"/>
    <row r="19" x14ac:dyDescent="0.35"/>
    <row r="20" x14ac:dyDescent="0.35"/>
    <row r="21" x14ac:dyDescent="0.35"/>
    <row r="22" x14ac:dyDescent="0.35"/>
    <row r="23" x14ac:dyDescent="0.35"/>
    <row r="24" x14ac:dyDescent="0.35"/>
    <row r="25" x14ac:dyDescent="0.35"/>
    <row r="26" x14ac:dyDescent="0.35"/>
    <row r="27" x14ac:dyDescent="0.35"/>
    <row r="28" x14ac:dyDescent="0.35"/>
    <row r="29" x14ac:dyDescent="0.35"/>
    <row r="30" x14ac:dyDescent="0.35"/>
    <row r="31" x14ac:dyDescent="0.35"/>
    <row r="32" x14ac:dyDescent="0.35"/>
    <row r="33" x14ac:dyDescent="0.35"/>
  </sheetData>
  <sheetProtection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E2AD7-524D-4B31-9542-2A321AA99C28}">
  <sheetPr codeName="Planilha7">
    <tabColor theme="8" tint="-0.499984740745262"/>
  </sheetPr>
  <dimension ref="B1:N91"/>
  <sheetViews>
    <sheetView showGridLines="0" showRowColHeaders="0" zoomScaleNormal="100" workbookViewId="0">
      <pane ySplit="14" topLeftCell="A15" activePane="bottomLeft" state="frozen"/>
      <selection pane="bottomLeft"/>
    </sheetView>
  </sheetViews>
  <sheetFormatPr defaultColWidth="8.81640625" defaultRowHeight="0" customHeight="1" zeroHeight="1" x14ac:dyDescent="0.35"/>
  <cols>
    <col min="1" max="1" width="1.81640625" customWidth="1"/>
    <col min="2" max="2" width="50.81640625" customWidth="1"/>
    <col min="3" max="3" width="11.1796875" style="23" customWidth="1"/>
    <col min="4" max="6" width="25.81640625" customWidth="1"/>
    <col min="7" max="14" width="15.7265625" customWidth="1"/>
  </cols>
  <sheetData>
    <row r="1" spans="2:14" s="2" customFormat="1" ht="14.5" x14ac:dyDescent="0.35">
      <c r="C1" s="8"/>
    </row>
    <row r="2" spans="2:14" s="2" customFormat="1" ht="14.5" x14ac:dyDescent="0.35">
      <c r="C2" s="8"/>
    </row>
    <row r="3" spans="2:14" s="2" customFormat="1" ht="14.5" x14ac:dyDescent="0.35">
      <c r="C3" s="8"/>
    </row>
    <row r="4" spans="2:14" ht="2.15" customHeight="1" x14ac:dyDescent="0.35"/>
    <row r="5" spans="2:14" s="1" customFormat="1" ht="5.15" customHeight="1" x14ac:dyDescent="0.35">
      <c r="C5" s="10"/>
    </row>
    <row r="6" spans="2:14" ht="3" customHeight="1" x14ac:dyDescent="0.35"/>
    <row r="7" spans="2:14" s="1" customFormat="1" ht="5.15" customHeight="1" x14ac:dyDescent="0.35">
      <c r="C7" s="10"/>
    </row>
    <row r="8" spans="2:14" ht="2.15" customHeight="1" x14ac:dyDescent="0.35"/>
    <row r="9" spans="2:14" ht="30" customHeight="1" x14ac:dyDescent="0.35"/>
    <row r="10" spans="2:14" ht="5.15" customHeight="1" x14ac:dyDescent="0.35">
      <c r="B10" s="6"/>
    </row>
    <row r="11" spans="2:14" ht="5.15" customHeight="1" x14ac:dyDescent="0.35"/>
    <row r="12" spans="2:14" ht="40" customHeight="1" x14ac:dyDescent="0.35">
      <c r="B12" s="39" t="s">
        <v>0</v>
      </c>
      <c r="C12" s="40"/>
      <c r="D12" s="40"/>
      <c r="E12" s="40"/>
      <c r="F12" s="40"/>
      <c r="G12" s="40"/>
    </row>
    <row r="13" spans="2:14" ht="16" customHeight="1" x14ac:dyDescent="0.35">
      <c r="B13" s="45" t="s">
        <v>1</v>
      </c>
      <c r="C13" s="45" t="s">
        <v>2</v>
      </c>
      <c r="D13" s="47" t="s">
        <v>16</v>
      </c>
      <c r="E13" s="45" t="s">
        <v>3</v>
      </c>
      <c r="F13" s="45" t="s">
        <v>4</v>
      </c>
      <c r="G13" s="43" t="s">
        <v>90</v>
      </c>
      <c r="H13" s="44"/>
      <c r="I13" s="44"/>
      <c r="J13" s="44"/>
      <c r="K13" s="44"/>
      <c r="L13" s="44"/>
      <c r="M13" s="44"/>
      <c r="N13" s="44"/>
    </row>
    <row r="14" spans="2:14" ht="16" customHeight="1" x14ac:dyDescent="0.35">
      <c r="B14" s="46"/>
      <c r="C14" s="46"/>
      <c r="D14" s="48"/>
      <c r="E14" s="46"/>
      <c r="F14" s="46"/>
      <c r="G14" s="22" t="s">
        <v>83</v>
      </c>
      <c r="H14" s="22" t="s">
        <v>84</v>
      </c>
      <c r="I14" s="22" t="s">
        <v>85</v>
      </c>
      <c r="J14" s="22" t="s">
        <v>86</v>
      </c>
      <c r="K14" s="22" t="s">
        <v>87</v>
      </c>
      <c r="L14" s="22" t="s">
        <v>88</v>
      </c>
      <c r="M14" s="22" t="s">
        <v>10</v>
      </c>
      <c r="N14" s="22" t="s">
        <v>89</v>
      </c>
    </row>
    <row r="15" spans="2:14" ht="16.399999999999999" customHeight="1" x14ac:dyDescent="0.35">
      <c r="B15" s="4" t="s">
        <v>5</v>
      </c>
      <c r="C15" s="4" t="s">
        <v>8</v>
      </c>
      <c r="D15" s="4" t="s">
        <v>10</v>
      </c>
      <c r="E15" s="4">
        <v>35</v>
      </c>
      <c r="F15" s="4" t="s">
        <v>13</v>
      </c>
      <c r="G15" s="4">
        <v>10</v>
      </c>
      <c r="H15" s="4">
        <v>5</v>
      </c>
      <c r="I15" s="4">
        <v>5</v>
      </c>
      <c r="J15" s="4">
        <v>5</v>
      </c>
      <c r="K15" s="4">
        <v>5</v>
      </c>
      <c r="L15" s="4">
        <v>5</v>
      </c>
      <c r="M15" s="4">
        <v>10</v>
      </c>
      <c r="N15" s="4">
        <v>5</v>
      </c>
    </row>
    <row r="16" spans="2:14" ht="16.399999999999999" customHeight="1" x14ac:dyDescent="0.35">
      <c r="B16" s="4" t="s">
        <v>6</v>
      </c>
      <c r="C16" s="4" t="s">
        <v>9</v>
      </c>
      <c r="D16" s="4" t="s">
        <v>11</v>
      </c>
      <c r="E16" s="4">
        <v>28</v>
      </c>
      <c r="F16" s="4" t="s">
        <v>13</v>
      </c>
      <c r="G16" s="4">
        <v>5</v>
      </c>
      <c r="H16" s="4">
        <v>5</v>
      </c>
      <c r="I16" s="4">
        <v>5</v>
      </c>
      <c r="J16" s="4">
        <v>10</v>
      </c>
      <c r="K16" s="4">
        <v>10</v>
      </c>
      <c r="L16" s="4">
        <v>10</v>
      </c>
      <c r="M16" s="4">
        <v>5</v>
      </c>
      <c r="N16" s="4">
        <v>5</v>
      </c>
    </row>
    <row r="17" spans="2:14" ht="16.399999999999999" customHeight="1" x14ac:dyDescent="0.35">
      <c r="B17" s="4" t="s">
        <v>7</v>
      </c>
      <c r="C17" s="4" t="s">
        <v>8</v>
      </c>
      <c r="D17" s="4" t="s">
        <v>12</v>
      </c>
      <c r="E17" s="4">
        <v>32</v>
      </c>
      <c r="F17" s="4" t="s">
        <v>15</v>
      </c>
      <c r="G17" s="4">
        <v>10</v>
      </c>
      <c r="H17" s="4">
        <v>10</v>
      </c>
      <c r="I17" s="4">
        <v>5</v>
      </c>
      <c r="J17" s="4">
        <v>10</v>
      </c>
      <c r="K17" s="4">
        <v>5</v>
      </c>
      <c r="L17" s="4">
        <v>5</v>
      </c>
      <c r="M17" s="4">
        <v>5</v>
      </c>
      <c r="N17" s="4">
        <v>5</v>
      </c>
    </row>
    <row r="18" spans="2:14" ht="16.399999999999999" customHeight="1" x14ac:dyDescent="0.35">
      <c r="B18" s="4" t="s">
        <v>70</v>
      </c>
      <c r="C18" s="4" t="s">
        <v>9</v>
      </c>
      <c r="D18" s="4" t="s">
        <v>59</v>
      </c>
      <c r="E18" s="4">
        <v>34</v>
      </c>
      <c r="F18" s="4" t="s">
        <v>15</v>
      </c>
      <c r="G18" s="4">
        <v>5</v>
      </c>
      <c r="H18" s="4">
        <v>10</v>
      </c>
      <c r="I18" s="4">
        <v>10</v>
      </c>
      <c r="J18" s="4">
        <v>5</v>
      </c>
      <c r="K18" s="4">
        <v>10</v>
      </c>
      <c r="L18" s="4">
        <v>5</v>
      </c>
      <c r="M18" s="4">
        <v>5</v>
      </c>
      <c r="N18" s="4">
        <v>10</v>
      </c>
    </row>
    <row r="19" spans="2:14" ht="15" customHeight="1" x14ac:dyDescent="0.35">
      <c r="B19" s="4" t="s">
        <v>58</v>
      </c>
      <c r="C19" s="4" t="s">
        <v>8</v>
      </c>
      <c r="D19" s="4" t="s">
        <v>60</v>
      </c>
      <c r="E19" s="4">
        <v>44</v>
      </c>
      <c r="F19" s="4" t="s">
        <v>55</v>
      </c>
      <c r="G19" s="4">
        <v>5</v>
      </c>
      <c r="H19" s="4">
        <v>10</v>
      </c>
      <c r="I19" s="4">
        <v>5</v>
      </c>
      <c r="J19" s="4">
        <v>10</v>
      </c>
      <c r="K19" s="4">
        <v>5</v>
      </c>
      <c r="L19" s="4">
        <v>5</v>
      </c>
      <c r="M19" s="4">
        <v>5</v>
      </c>
      <c r="N19" s="4">
        <v>5</v>
      </c>
    </row>
    <row r="20" spans="2:14" ht="16.399999999999999" customHeight="1" x14ac:dyDescent="0.35"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</row>
    <row r="21" spans="2:14" ht="16.399999999999999" customHeight="1" x14ac:dyDescent="0.35"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</row>
    <row r="22" spans="2:14" ht="15" customHeight="1" x14ac:dyDescent="0.35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</row>
    <row r="23" spans="2:14" ht="14.5" x14ac:dyDescent="0.35"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</row>
    <row r="24" spans="2:14" ht="14.5" x14ac:dyDescent="0.35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</row>
    <row r="25" spans="2:14" ht="14.5" x14ac:dyDescent="0.35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</row>
    <row r="26" spans="2:14" ht="14.5" x14ac:dyDescent="0.35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</row>
    <row r="27" spans="2:14" ht="14.5" x14ac:dyDescent="0.35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</row>
    <row r="28" spans="2:14" ht="14.5" x14ac:dyDescent="0.35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</row>
    <row r="29" spans="2:14" ht="14.5" x14ac:dyDescent="0.35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</row>
    <row r="30" spans="2:14" ht="14.5" x14ac:dyDescent="0.35">
      <c r="C30"/>
    </row>
    <row r="31" spans="2:14" ht="14.5" x14ac:dyDescent="0.35">
      <c r="C31"/>
    </row>
    <row r="32" spans="2:14" ht="14.5" x14ac:dyDescent="0.35">
      <c r="C32"/>
    </row>
    <row r="33" spans="3:3" ht="14.5" x14ac:dyDescent="0.35">
      <c r="C33"/>
    </row>
    <row r="34" spans="3:3" ht="14.5" x14ac:dyDescent="0.35">
      <c r="C34"/>
    </row>
    <row r="35" spans="3:3" ht="14.5" customHeight="1" x14ac:dyDescent="0.35">
      <c r="C35"/>
    </row>
    <row r="36" spans="3:3" ht="14.5" customHeight="1" x14ac:dyDescent="0.35">
      <c r="C36"/>
    </row>
    <row r="37" spans="3:3" ht="14.5" customHeight="1" x14ac:dyDescent="0.35">
      <c r="C37"/>
    </row>
    <row r="38" spans="3:3" ht="14.5" customHeight="1" x14ac:dyDescent="0.35">
      <c r="C38"/>
    </row>
    <row r="39" spans="3:3" ht="14.5" customHeight="1" x14ac:dyDescent="0.35">
      <c r="C39"/>
    </row>
    <row r="40" spans="3:3" ht="14.5" customHeight="1" x14ac:dyDescent="0.35">
      <c r="C40"/>
    </row>
    <row r="41" spans="3:3" ht="14.5" customHeight="1" x14ac:dyDescent="0.35">
      <c r="C41"/>
    </row>
    <row r="42" spans="3:3" ht="14.5" customHeight="1" x14ac:dyDescent="0.35">
      <c r="C42"/>
    </row>
    <row r="43" spans="3:3" ht="14.5" customHeight="1" x14ac:dyDescent="0.35">
      <c r="C43"/>
    </row>
    <row r="44" spans="3:3" ht="14.5" customHeight="1" x14ac:dyDescent="0.35">
      <c r="C44"/>
    </row>
    <row r="45" spans="3:3" ht="14.5" customHeight="1" x14ac:dyDescent="0.35">
      <c r="C45"/>
    </row>
    <row r="46" spans="3:3" ht="14.5" customHeight="1" x14ac:dyDescent="0.35">
      <c r="C46"/>
    </row>
    <row r="47" spans="3:3" ht="14.5" customHeight="1" x14ac:dyDescent="0.35">
      <c r="C47"/>
    </row>
    <row r="48" spans="3:3" ht="14.5" customHeight="1" x14ac:dyDescent="0.35">
      <c r="C48"/>
    </row>
    <row r="49" spans="3:3" ht="14.5" customHeight="1" x14ac:dyDescent="0.35">
      <c r="C49"/>
    </row>
    <row r="50" spans="3:3" ht="14.5" customHeight="1" x14ac:dyDescent="0.35">
      <c r="C50"/>
    </row>
    <row r="51" spans="3:3" ht="14.5" customHeight="1" x14ac:dyDescent="0.35">
      <c r="C51"/>
    </row>
    <row r="52" spans="3:3" ht="14.5" customHeight="1" x14ac:dyDescent="0.35">
      <c r="C52"/>
    </row>
    <row r="53" spans="3:3" ht="14.5" customHeight="1" x14ac:dyDescent="0.35">
      <c r="C53"/>
    </row>
    <row r="54" spans="3:3" ht="14.5" customHeight="1" x14ac:dyDescent="0.35">
      <c r="C54"/>
    </row>
    <row r="55" spans="3:3" ht="14.5" customHeight="1" x14ac:dyDescent="0.35">
      <c r="C55"/>
    </row>
    <row r="56" spans="3:3" ht="14.5" customHeight="1" x14ac:dyDescent="0.35">
      <c r="C56"/>
    </row>
    <row r="57" spans="3:3" ht="14.5" customHeight="1" x14ac:dyDescent="0.35">
      <c r="C57"/>
    </row>
    <row r="58" spans="3:3" ht="14.5" customHeight="1" x14ac:dyDescent="0.35">
      <c r="C58"/>
    </row>
    <row r="59" spans="3:3" ht="14.5" customHeight="1" x14ac:dyDescent="0.35">
      <c r="C59"/>
    </row>
    <row r="60" spans="3:3" ht="14.5" customHeight="1" x14ac:dyDescent="0.35">
      <c r="C60"/>
    </row>
    <row r="61" spans="3:3" ht="14.5" customHeight="1" x14ac:dyDescent="0.35">
      <c r="C61"/>
    </row>
    <row r="62" spans="3:3" ht="14.5" customHeight="1" x14ac:dyDescent="0.35">
      <c r="C62"/>
    </row>
    <row r="63" spans="3:3" ht="14.5" customHeight="1" x14ac:dyDescent="0.35">
      <c r="C63"/>
    </row>
    <row r="64" spans="3:3" ht="14.5" customHeight="1" x14ac:dyDescent="0.35">
      <c r="C64"/>
    </row>
    <row r="65" ht="14.5" customHeight="1" x14ac:dyDescent="0.35"/>
    <row r="66" ht="14.5" customHeight="1" x14ac:dyDescent="0.35"/>
    <row r="67" ht="14.5" customHeight="1" x14ac:dyDescent="0.35"/>
    <row r="68" ht="14.5" customHeight="1" x14ac:dyDescent="0.35"/>
    <row r="69" ht="14.5" customHeight="1" x14ac:dyDescent="0.35"/>
    <row r="70" ht="14.5" customHeight="1" x14ac:dyDescent="0.35"/>
    <row r="71" ht="14.5" customHeight="1" x14ac:dyDescent="0.35"/>
    <row r="72" ht="14.5" customHeight="1" x14ac:dyDescent="0.35"/>
    <row r="73" ht="14.5" customHeight="1" x14ac:dyDescent="0.35"/>
    <row r="74" ht="14.5" customHeight="1" x14ac:dyDescent="0.35"/>
    <row r="75" ht="14.5" customHeight="1" x14ac:dyDescent="0.35"/>
    <row r="76" ht="14.5" customHeight="1" x14ac:dyDescent="0.35"/>
    <row r="77" ht="14.5" customHeight="1" x14ac:dyDescent="0.35"/>
    <row r="78" ht="14.5" customHeight="1" x14ac:dyDescent="0.35"/>
    <row r="79" ht="14.5" customHeight="1" x14ac:dyDescent="0.35"/>
    <row r="80" ht="14.5" customHeight="1" x14ac:dyDescent="0.35"/>
    <row r="81" ht="14.5" customHeight="1" x14ac:dyDescent="0.35"/>
    <row r="82" ht="14.5" customHeight="1" x14ac:dyDescent="0.35"/>
    <row r="83" ht="14.5" customHeight="1" x14ac:dyDescent="0.35"/>
    <row r="84" ht="14.5" customHeight="1" x14ac:dyDescent="0.35"/>
    <row r="85" ht="14.5" customHeight="1" x14ac:dyDescent="0.35"/>
    <row r="86" ht="14.5" customHeight="1" x14ac:dyDescent="0.35"/>
    <row r="87" ht="14.5" customHeight="1" x14ac:dyDescent="0.35"/>
    <row r="88" ht="14.5" customHeight="1" x14ac:dyDescent="0.35"/>
    <row r="89" ht="14.5" customHeight="1" x14ac:dyDescent="0.35"/>
    <row r="90" ht="14.5" customHeight="1" x14ac:dyDescent="0.35"/>
    <row r="91" ht="14.5" customHeight="1" x14ac:dyDescent="0.35"/>
  </sheetData>
  <mergeCells count="6">
    <mergeCell ref="G13:N13"/>
    <mergeCell ref="B13:B14"/>
    <mergeCell ref="D13:D14"/>
    <mergeCell ref="F13:F14"/>
    <mergeCell ref="C13:C14"/>
    <mergeCell ref="E13:E14"/>
  </mergeCells>
  <phoneticPr fontId="5" type="noConversion"/>
  <dataValidations count="3">
    <dataValidation type="list" allowBlank="1" showInputMessage="1" showErrorMessage="1" sqref="C15:C29" xr:uid="{94E46CC4-061D-400F-A94B-2296EDDD088D}">
      <formula1>"Masculino,Feminino"</formula1>
    </dataValidation>
    <dataValidation type="list" allowBlank="1" showInputMessage="1" showErrorMessage="1" sqref="F15:F29" xr:uid="{E11B9939-3E5E-454F-8326-BACFAEB375D9}">
      <formula1>"Ensino Médio,Ensino Superior,Pós Graduado,Mestrado,Doutorado"</formula1>
    </dataValidation>
    <dataValidation type="list" allowBlank="1" showInputMessage="1" showErrorMessage="1" sqref="G15:N29" xr:uid="{FCED2561-F81E-4F78-BF17-8AE01562594D}">
      <formula1>"0,1,2,3,4,5,6,7,8,9,10"</formula1>
    </dataValidation>
  </dataValidations>
  <printOptions horizontalCentered="1"/>
  <pageMargins left="0.19685039370078741" right="0.19685039370078741" top="0.39370078740157483" bottom="0.78740157480314965" header="0.31496062992125984" footer="0.31496062992125984"/>
  <pageSetup paperSize="9" scale="67" fitToHeight="3" orientation="portrait" r:id="rId1"/>
  <headerFooter>
    <oddFooter>Página &amp;P de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1643B-55A7-49E5-BE43-F62E2B8356DE}">
  <sheetPr codeName="Planilha8">
    <tabColor theme="8" tint="-0.499984740745262"/>
  </sheetPr>
  <dimension ref="B1:L29"/>
  <sheetViews>
    <sheetView showGridLines="0" showRowColHeaders="0" zoomScale="85" zoomScaleNormal="85" workbookViewId="0">
      <pane xSplit="2" ySplit="14" topLeftCell="C15" activePane="bottomRight" state="frozen"/>
      <selection pane="topRight" activeCell="C1" sqref="C1"/>
      <selection pane="bottomLeft" activeCell="A15" sqref="A15"/>
      <selection pane="bottomRight"/>
    </sheetView>
  </sheetViews>
  <sheetFormatPr defaultColWidth="8.81640625" defaultRowHeight="14.5" customHeight="1" x14ac:dyDescent="0.35"/>
  <cols>
    <col min="1" max="1" width="1.81640625" customWidth="1"/>
    <col min="2" max="2" width="50.81640625" customWidth="1"/>
    <col min="3" max="3" width="50.81640625" style="9" customWidth="1"/>
    <col min="4" max="12" width="12.7265625" customWidth="1"/>
    <col min="13" max="13" width="3.81640625" customWidth="1"/>
  </cols>
  <sheetData>
    <row r="1" spans="2:12" s="2" customFormat="1" x14ac:dyDescent="0.35">
      <c r="C1" s="8"/>
    </row>
    <row r="2" spans="2:12" s="2" customFormat="1" x14ac:dyDescent="0.35">
      <c r="C2" s="8"/>
    </row>
    <row r="3" spans="2:12" s="2" customFormat="1" x14ac:dyDescent="0.35">
      <c r="C3" s="8"/>
    </row>
    <row r="4" spans="2:12" ht="2.15" customHeight="1" x14ac:dyDescent="0.35"/>
    <row r="5" spans="2:12" s="1" customFormat="1" ht="5.15" customHeight="1" x14ac:dyDescent="0.35">
      <c r="C5" s="10"/>
    </row>
    <row r="6" spans="2:12" ht="3" customHeight="1" x14ac:dyDescent="0.35"/>
    <row r="7" spans="2:12" s="1" customFormat="1" ht="5.15" customHeight="1" x14ac:dyDescent="0.35">
      <c r="C7" s="10"/>
    </row>
    <row r="8" spans="2:12" ht="2.15" customHeight="1" x14ac:dyDescent="0.35"/>
    <row r="9" spans="2:12" ht="30" customHeight="1" x14ac:dyDescent="0.35"/>
    <row r="10" spans="2:12" ht="5.15" customHeight="1" x14ac:dyDescent="0.35">
      <c r="B10" s="6"/>
    </row>
    <row r="11" spans="2:12" ht="5.15" customHeight="1" x14ac:dyDescent="0.35"/>
    <row r="12" spans="2:12" ht="40" customHeight="1" x14ac:dyDescent="0.35">
      <c r="B12" s="7" t="s">
        <v>17</v>
      </c>
      <c r="C12" s="11"/>
      <c r="D12" s="11"/>
      <c r="E12" s="11"/>
      <c r="F12" s="11"/>
      <c r="G12" s="11"/>
      <c r="H12" s="11"/>
      <c r="I12" s="11"/>
      <c r="J12" s="11"/>
      <c r="K12" s="11"/>
      <c r="L12" s="11"/>
    </row>
    <row r="13" spans="2:12" ht="16" customHeight="1" x14ac:dyDescent="0.35">
      <c r="B13" s="49" t="s">
        <v>1</v>
      </c>
      <c r="C13" s="50" t="s">
        <v>29</v>
      </c>
      <c r="D13" s="51" t="s">
        <v>82</v>
      </c>
      <c r="E13" s="51"/>
      <c r="F13" s="51"/>
      <c r="G13" s="51"/>
      <c r="H13" s="51"/>
      <c r="I13" s="51"/>
      <c r="J13" s="51"/>
      <c r="K13" s="51"/>
      <c r="L13" s="51"/>
    </row>
    <row r="14" spans="2:12" ht="16" customHeight="1" x14ac:dyDescent="0.35">
      <c r="B14" s="49"/>
      <c r="C14" s="49"/>
      <c r="D14" s="21" t="s">
        <v>74</v>
      </c>
      <c r="E14" s="21" t="s">
        <v>75</v>
      </c>
      <c r="F14" s="21" t="s">
        <v>76</v>
      </c>
      <c r="G14" s="21" t="s">
        <v>77</v>
      </c>
      <c r="H14" s="21" t="s">
        <v>78</v>
      </c>
      <c r="I14" s="21" t="s">
        <v>63</v>
      </c>
      <c r="J14" s="21" t="s">
        <v>79</v>
      </c>
      <c r="K14" s="21" t="s">
        <v>81</v>
      </c>
      <c r="L14" s="21" t="s">
        <v>80</v>
      </c>
    </row>
    <row r="15" spans="2:12" ht="14.5" customHeight="1" x14ac:dyDescent="0.35">
      <c r="B15" s="14" t="str">
        <f>IF(CADASTRO!B15="","",CADASTRO!B15)</f>
        <v>João Paulo, o empreendedor</v>
      </c>
      <c r="C15" s="4" t="s">
        <v>18</v>
      </c>
      <c r="D15" s="4">
        <v>8</v>
      </c>
      <c r="E15" s="4">
        <v>5</v>
      </c>
      <c r="F15" s="4">
        <v>10</v>
      </c>
      <c r="G15" s="4">
        <v>2</v>
      </c>
      <c r="H15" s="4">
        <v>0</v>
      </c>
      <c r="I15" s="4">
        <v>1</v>
      </c>
      <c r="J15" s="4">
        <v>0</v>
      </c>
      <c r="K15" s="4">
        <v>5</v>
      </c>
      <c r="L15" s="4">
        <v>0</v>
      </c>
    </row>
    <row r="16" spans="2:12" ht="14.5" customHeight="1" x14ac:dyDescent="0.35">
      <c r="B16" s="14" t="str">
        <f>IF(CADASTRO!B16="","",CADASTRO!B16)</f>
        <v>Maria Lucia, a advogada</v>
      </c>
      <c r="C16" s="4" t="s">
        <v>19</v>
      </c>
      <c r="D16" s="4">
        <v>0</v>
      </c>
      <c r="E16" s="4">
        <v>0</v>
      </c>
      <c r="F16" s="4">
        <v>0</v>
      </c>
      <c r="G16" s="4">
        <v>10</v>
      </c>
      <c r="H16" s="4">
        <v>0</v>
      </c>
      <c r="I16" s="4">
        <v>0</v>
      </c>
      <c r="J16" s="4">
        <v>0</v>
      </c>
      <c r="K16" s="4">
        <v>5</v>
      </c>
      <c r="L16" s="4">
        <v>0</v>
      </c>
    </row>
    <row r="17" spans="2:12" ht="14.5" customHeight="1" x14ac:dyDescent="0.35">
      <c r="B17" s="14" t="str">
        <f>IF(CADASTRO!B17="","",CADASTRO!B17)</f>
        <v>Felipe Alves, o diretor comercial</v>
      </c>
      <c r="C17" s="4" t="s">
        <v>20</v>
      </c>
      <c r="D17" s="4">
        <v>10</v>
      </c>
      <c r="E17" s="4">
        <v>10</v>
      </c>
      <c r="F17" s="4">
        <v>10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</row>
    <row r="18" spans="2:12" ht="14.5" customHeight="1" x14ac:dyDescent="0.35">
      <c r="B18" s="14" t="str">
        <f>IF(CADASTRO!B18="","",CADASTRO!B18)</f>
        <v>Adriana, A administradora</v>
      </c>
      <c r="C18" s="4" t="s">
        <v>62</v>
      </c>
      <c r="D18" s="4">
        <v>5</v>
      </c>
      <c r="E18" s="4">
        <v>5</v>
      </c>
      <c r="F18" s="4">
        <v>5</v>
      </c>
      <c r="G18" s="4">
        <v>10</v>
      </c>
      <c r="H18" s="4">
        <v>0</v>
      </c>
      <c r="I18" s="4">
        <v>0</v>
      </c>
      <c r="J18" s="4">
        <v>0</v>
      </c>
      <c r="K18" s="4">
        <v>8</v>
      </c>
      <c r="L18" s="4">
        <v>0</v>
      </c>
    </row>
    <row r="19" spans="2:12" ht="14.5" customHeight="1" x14ac:dyDescent="0.35">
      <c r="B19" s="14" t="str">
        <f>IF(CADASTRO!B19="","",CADASTRO!B19)</f>
        <v>Pedro, o Jornalista</v>
      </c>
      <c r="C19" s="4" t="s">
        <v>61</v>
      </c>
      <c r="D19" s="4">
        <v>10</v>
      </c>
      <c r="E19" s="4">
        <v>10</v>
      </c>
      <c r="F19" s="4">
        <v>10</v>
      </c>
      <c r="G19" s="4">
        <v>10</v>
      </c>
      <c r="H19" s="4">
        <v>5</v>
      </c>
      <c r="I19" s="4">
        <v>0</v>
      </c>
      <c r="J19" s="4">
        <v>2</v>
      </c>
      <c r="K19" s="4">
        <v>2</v>
      </c>
      <c r="L19" s="4">
        <v>0</v>
      </c>
    </row>
    <row r="20" spans="2:12" ht="14.5" customHeight="1" x14ac:dyDescent="0.35">
      <c r="B20" s="14" t="str">
        <f>IF(CADASTRO!B20="","",CADASTRO!B20)</f>
        <v/>
      </c>
      <c r="C20" s="4"/>
      <c r="D20" s="4"/>
      <c r="E20" s="4"/>
      <c r="F20" s="4"/>
      <c r="G20" s="4"/>
      <c r="H20" s="4"/>
      <c r="I20" s="4"/>
      <c r="J20" s="4"/>
      <c r="K20" s="4"/>
      <c r="L20" s="4"/>
    </row>
    <row r="21" spans="2:12" ht="14.5" customHeight="1" x14ac:dyDescent="0.35">
      <c r="B21" s="14" t="str">
        <f>IF(CADASTRO!B21="","",CADASTRO!B21)</f>
        <v/>
      </c>
      <c r="C21" s="4"/>
      <c r="D21" s="4"/>
      <c r="E21" s="4"/>
      <c r="F21" s="4"/>
      <c r="G21" s="4"/>
      <c r="H21" s="4"/>
      <c r="I21" s="4"/>
      <c r="J21" s="4"/>
      <c r="K21" s="4"/>
      <c r="L21" s="4"/>
    </row>
    <row r="22" spans="2:12" ht="14.5" customHeight="1" x14ac:dyDescent="0.35">
      <c r="B22" s="14" t="str">
        <f>IF(CADASTRO!B22="","",CADASTRO!B22)</f>
        <v/>
      </c>
      <c r="C22" s="4"/>
      <c r="D22" s="4"/>
      <c r="E22" s="4"/>
      <c r="F22" s="4"/>
      <c r="G22" s="4"/>
      <c r="H22" s="4"/>
      <c r="I22" s="4"/>
      <c r="J22" s="4"/>
      <c r="K22" s="4"/>
      <c r="L22" s="4"/>
    </row>
    <row r="23" spans="2:12" ht="14.5" customHeight="1" x14ac:dyDescent="0.35">
      <c r="B23" s="14" t="str">
        <f>IF(CADASTRO!B23="","",CADASTRO!B23)</f>
        <v/>
      </c>
      <c r="C23" s="4"/>
      <c r="D23" s="4"/>
      <c r="E23" s="4"/>
      <c r="F23" s="4"/>
      <c r="G23" s="4"/>
      <c r="H23" s="4"/>
      <c r="I23" s="4"/>
      <c r="J23" s="4"/>
      <c r="K23" s="4"/>
      <c r="L23" s="4"/>
    </row>
    <row r="24" spans="2:12" ht="14.5" customHeight="1" x14ac:dyDescent="0.35">
      <c r="B24" s="14" t="str">
        <f>IF(CADASTRO!B24="","",CADASTRO!B24)</f>
        <v/>
      </c>
      <c r="C24" s="4"/>
      <c r="D24" s="4"/>
      <c r="E24" s="4"/>
      <c r="F24" s="4"/>
      <c r="G24" s="4"/>
      <c r="H24" s="4"/>
      <c r="I24" s="4"/>
      <c r="J24" s="4"/>
      <c r="K24" s="4"/>
      <c r="L24" s="4"/>
    </row>
    <row r="25" spans="2:12" ht="14.5" customHeight="1" x14ac:dyDescent="0.35">
      <c r="B25" s="14" t="str">
        <f>IF(CADASTRO!B25="","",CADASTRO!B25)</f>
        <v/>
      </c>
      <c r="C25" s="4"/>
      <c r="D25" s="4"/>
      <c r="E25" s="4"/>
      <c r="F25" s="4"/>
      <c r="G25" s="4"/>
      <c r="H25" s="4"/>
      <c r="I25" s="4"/>
      <c r="J25" s="4"/>
      <c r="K25" s="4"/>
      <c r="L25" s="4"/>
    </row>
    <row r="26" spans="2:12" ht="14.5" customHeight="1" x14ac:dyDescent="0.35">
      <c r="B26" s="14" t="str">
        <f>IF(CADASTRO!B26="","",CADASTRO!B26)</f>
        <v/>
      </c>
      <c r="C26" s="4"/>
      <c r="D26" s="4"/>
      <c r="E26" s="4"/>
      <c r="F26" s="4"/>
      <c r="G26" s="4"/>
      <c r="H26" s="4"/>
      <c r="I26" s="4"/>
      <c r="J26" s="4"/>
      <c r="K26" s="4"/>
      <c r="L26" s="4"/>
    </row>
    <row r="27" spans="2:12" ht="14.5" customHeight="1" x14ac:dyDescent="0.35">
      <c r="B27" s="14" t="str">
        <f>IF(CADASTRO!B27="","",CADASTRO!B27)</f>
        <v/>
      </c>
      <c r="C27" s="4"/>
      <c r="D27" s="4"/>
      <c r="E27" s="4"/>
      <c r="F27" s="4"/>
      <c r="G27" s="4"/>
      <c r="H27" s="4"/>
      <c r="I27" s="4"/>
      <c r="J27" s="4"/>
      <c r="K27" s="4"/>
      <c r="L27" s="4"/>
    </row>
    <row r="28" spans="2:12" ht="14.5" customHeight="1" x14ac:dyDescent="0.35">
      <c r="B28" s="14" t="str">
        <f>IF(CADASTRO!B28="","",CADASTRO!B28)</f>
        <v/>
      </c>
      <c r="C28" s="4"/>
      <c r="D28" s="4"/>
      <c r="E28" s="4"/>
      <c r="F28" s="4"/>
      <c r="G28" s="4"/>
      <c r="H28" s="4"/>
      <c r="I28" s="4"/>
      <c r="J28" s="4"/>
      <c r="K28" s="4"/>
      <c r="L28" s="4"/>
    </row>
    <row r="29" spans="2:12" ht="14.5" customHeight="1" x14ac:dyDescent="0.35">
      <c r="B29" s="14" t="str">
        <f>IF(CADASTRO!B29="","",CADASTRO!B29)</f>
        <v/>
      </c>
      <c r="C29" s="4"/>
      <c r="D29" s="4"/>
      <c r="E29" s="4"/>
      <c r="F29" s="4"/>
      <c r="G29" s="4"/>
      <c r="H29" s="4"/>
      <c r="I29" s="4"/>
      <c r="J29" s="4"/>
      <c r="K29" s="4"/>
      <c r="L29" s="4"/>
    </row>
  </sheetData>
  <mergeCells count="3">
    <mergeCell ref="B13:B14"/>
    <mergeCell ref="C13:C14"/>
    <mergeCell ref="D13:L13"/>
  </mergeCells>
  <phoneticPr fontId="5" type="noConversion"/>
  <dataValidations count="1">
    <dataValidation type="list" allowBlank="1" showInputMessage="1" showErrorMessage="1" sqref="D15:L29" xr:uid="{582E328A-DA98-414E-B106-030EA645BB0B}">
      <formula1>"0,1,2,3,4,5,6,7,8,9,10"</formula1>
    </dataValidation>
  </dataValidations>
  <printOptions horizontalCentered="1"/>
  <pageMargins left="0.19685039370078741" right="0.19685039370078741" top="0.39370078740157483" bottom="0.78740157480314965" header="0.31496062992125984" footer="0.31496062992125984"/>
  <pageSetup paperSize="9" scale="67" fitToHeight="3" orientation="portrait" r:id="rId1"/>
  <headerFooter>
    <oddFooter>Página &amp;P de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8A064-335E-4FCF-9808-E5F4F47CBDD2}">
  <sheetPr codeName="Planilha9">
    <tabColor theme="8" tint="-0.499984740745262"/>
  </sheetPr>
  <dimension ref="A1:M29"/>
  <sheetViews>
    <sheetView showGridLines="0" showRowColHeaders="0" zoomScaleNormal="100" workbookViewId="0"/>
  </sheetViews>
  <sheetFormatPr defaultColWidth="0" defaultRowHeight="14.5" customHeight="1" x14ac:dyDescent="0.35"/>
  <cols>
    <col min="1" max="1" width="1.81640625" customWidth="1"/>
    <col min="2" max="2" width="50.81640625" customWidth="1"/>
    <col min="3" max="3" width="50.81640625" style="9" customWidth="1"/>
    <col min="4" max="4" width="50.81640625" customWidth="1"/>
    <col min="5" max="5" width="51.1796875" customWidth="1"/>
    <col min="6" max="6" width="17.81640625" customWidth="1"/>
    <col min="7" max="7" width="1.81640625" customWidth="1"/>
    <col min="8" max="8" width="44.54296875" customWidth="1"/>
    <col min="9" max="9" width="1.81640625" customWidth="1"/>
    <col min="10" max="10" width="1.81640625" hidden="1" customWidth="1"/>
    <col min="11" max="11" width="25" hidden="1" customWidth="1"/>
    <col min="12" max="12" width="6.81640625" hidden="1" customWidth="1"/>
    <col min="13" max="13" width="3.81640625" hidden="1" customWidth="1"/>
    <col min="14" max="16384" width="8.81640625" hidden="1"/>
  </cols>
  <sheetData>
    <row r="1" spans="2:4" s="2" customFormat="1" x14ac:dyDescent="0.35">
      <c r="C1" s="8"/>
    </row>
    <row r="2" spans="2:4" s="2" customFormat="1" x14ac:dyDescent="0.35">
      <c r="C2" s="8"/>
    </row>
    <row r="3" spans="2:4" s="2" customFormat="1" x14ac:dyDescent="0.35">
      <c r="C3" s="8"/>
    </row>
    <row r="4" spans="2:4" ht="2.15" customHeight="1" x14ac:dyDescent="0.35"/>
    <row r="5" spans="2:4" s="1" customFormat="1" ht="5.15" customHeight="1" x14ac:dyDescent="0.35">
      <c r="C5" s="10"/>
    </row>
    <row r="6" spans="2:4" ht="3" customHeight="1" x14ac:dyDescent="0.35"/>
    <row r="7" spans="2:4" s="1" customFormat="1" ht="5.15" customHeight="1" x14ac:dyDescent="0.35">
      <c r="C7" s="10"/>
    </row>
    <row r="8" spans="2:4" ht="2.15" customHeight="1" x14ac:dyDescent="0.35"/>
    <row r="9" spans="2:4" ht="30" customHeight="1" x14ac:dyDescent="0.35"/>
    <row r="10" spans="2:4" ht="5.15" customHeight="1" x14ac:dyDescent="0.35">
      <c r="B10" s="6"/>
    </row>
    <row r="11" spans="2:4" ht="5.15" customHeight="1" x14ac:dyDescent="0.35"/>
    <row r="12" spans="2:4" ht="40" customHeight="1" x14ac:dyDescent="0.35">
      <c r="B12" s="52" t="s">
        <v>57</v>
      </c>
      <c r="C12" s="53"/>
      <c r="D12" s="53"/>
    </row>
    <row r="13" spans="2:4" ht="16" customHeight="1" x14ac:dyDescent="0.35">
      <c r="B13" s="49" t="s">
        <v>1</v>
      </c>
      <c r="C13" s="49" t="s">
        <v>22</v>
      </c>
      <c r="D13" s="50" t="s">
        <v>21</v>
      </c>
    </row>
    <row r="14" spans="2:4" ht="16" customHeight="1" x14ac:dyDescent="0.35">
      <c r="B14" s="49"/>
      <c r="C14" s="49"/>
      <c r="D14" s="49"/>
    </row>
    <row r="15" spans="2:4" ht="14.5" customHeight="1" x14ac:dyDescent="0.35">
      <c r="B15" s="14" t="str">
        <f>IF(CADASTRO!B15="","",CADASTRO!B15)</f>
        <v>João Paulo, o empreendedor</v>
      </c>
      <c r="C15" s="4" t="s">
        <v>23</v>
      </c>
      <c r="D15" s="13" t="s">
        <v>26</v>
      </c>
    </row>
    <row r="16" spans="2:4" ht="14.5" customHeight="1" x14ac:dyDescent="0.35">
      <c r="B16" s="14" t="str">
        <f>IF(CADASTRO!B16="","",CADASTRO!B16)</f>
        <v>Maria Lucia, a advogada</v>
      </c>
      <c r="C16" s="4" t="s">
        <v>24</v>
      </c>
      <c r="D16" s="13" t="s">
        <v>27</v>
      </c>
    </row>
    <row r="17" spans="2:4" ht="14.5" customHeight="1" x14ac:dyDescent="0.35">
      <c r="B17" s="14" t="str">
        <f>IF(CADASTRO!B17="","",CADASTRO!B17)</f>
        <v>Felipe Alves, o diretor comercial</v>
      </c>
      <c r="C17" s="4" t="s">
        <v>25</v>
      </c>
      <c r="D17" s="13" t="s">
        <v>28</v>
      </c>
    </row>
    <row r="18" spans="2:4" ht="14.5" customHeight="1" x14ac:dyDescent="0.35">
      <c r="B18" s="14" t="str">
        <f>IF(CADASTRO!B18="","",CADASTRO!B18)</f>
        <v>Adriana, A administradora</v>
      </c>
      <c r="C18" s="4" t="s">
        <v>64</v>
      </c>
      <c r="D18" s="13" t="s">
        <v>67</v>
      </c>
    </row>
    <row r="19" spans="2:4" ht="14.5" customHeight="1" x14ac:dyDescent="0.35">
      <c r="B19" s="14" t="str">
        <f>IF(CADASTRO!B19="","",CADASTRO!B19)</f>
        <v>Pedro, o Jornalista</v>
      </c>
      <c r="C19" s="4" t="s">
        <v>65</v>
      </c>
      <c r="D19" s="13" t="s">
        <v>66</v>
      </c>
    </row>
    <row r="20" spans="2:4" ht="14.5" customHeight="1" x14ac:dyDescent="0.35">
      <c r="B20" s="14" t="str">
        <f>IF(CADASTRO!B20="","",CADASTRO!B20)</f>
        <v/>
      </c>
      <c r="C20" s="4"/>
      <c r="D20" s="13"/>
    </row>
    <row r="21" spans="2:4" ht="14.5" customHeight="1" x14ac:dyDescent="0.35">
      <c r="B21" s="14" t="str">
        <f>IF(CADASTRO!B21="","",CADASTRO!B21)</f>
        <v/>
      </c>
      <c r="C21" s="4"/>
      <c r="D21" s="13"/>
    </row>
    <row r="22" spans="2:4" ht="14.5" customHeight="1" x14ac:dyDescent="0.35">
      <c r="B22" s="14" t="str">
        <f>IF(CADASTRO!B22="","",CADASTRO!B22)</f>
        <v/>
      </c>
      <c r="C22" s="4"/>
      <c r="D22" s="13"/>
    </row>
    <row r="23" spans="2:4" ht="14.5" customHeight="1" x14ac:dyDescent="0.35">
      <c r="B23" s="14" t="str">
        <f>IF(CADASTRO!B23="","",CADASTRO!B23)</f>
        <v/>
      </c>
      <c r="C23" s="4"/>
      <c r="D23" s="13"/>
    </row>
    <row r="24" spans="2:4" ht="14.5" customHeight="1" x14ac:dyDescent="0.35">
      <c r="B24" s="14" t="str">
        <f>IF(CADASTRO!B24="","",CADASTRO!B24)</f>
        <v/>
      </c>
      <c r="C24" s="4"/>
      <c r="D24" s="13"/>
    </row>
    <row r="25" spans="2:4" ht="14.5" customHeight="1" x14ac:dyDescent="0.35">
      <c r="B25" s="14" t="str">
        <f>IF(CADASTRO!B25="","",CADASTRO!B25)</f>
        <v/>
      </c>
      <c r="C25" s="4"/>
      <c r="D25" s="13"/>
    </row>
    <row r="26" spans="2:4" ht="14.5" customHeight="1" x14ac:dyDescent="0.35">
      <c r="B26" s="14" t="str">
        <f>IF(CADASTRO!B26="","",CADASTRO!B26)</f>
        <v/>
      </c>
      <c r="C26" s="4"/>
      <c r="D26" s="13"/>
    </row>
    <row r="27" spans="2:4" ht="14.5" customHeight="1" x14ac:dyDescent="0.35">
      <c r="B27" s="14" t="str">
        <f>IF(CADASTRO!B27="","",CADASTRO!B27)</f>
        <v/>
      </c>
      <c r="C27" s="4"/>
      <c r="D27" s="13"/>
    </row>
    <row r="28" spans="2:4" ht="14.5" customHeight="1" x14ac:dyDescent="0.35">
      <c r="B28" s="14" t="str">
        <f>IF(CADASTRO!B28="","",CADASTRO!B28)</f>
        <v/>
      </c>
      <c r="C28" s="4"/>
      <c r="D28" s="13"/>
    </row>
    <row r="29" spans="2:4" ht="14.5" customHeight="1" x14ac:dyDescent="0.35">
      <c r="B29" s="14" t="str">
        <f>IF(CADASTRO!B29="","",CADASTRO!B29)</f>
        <v/>
      </c>
      <c r="C29" s="4"/>
      <c r="D29" s="13"/>
    </row>
  </sheetData>
  <mergeCells count="4">
    <mergeCell ref="B13:B14"/>
    <mergeCell ref="C13:C14"/>
    <mergeCell ref="D13:D14"/>
    <mergeCell ref="B12:D12"/>
  </mergeCells>
  <printOptions horizontalCentered="1"/>
  <pageMargins left="0.19685039370078741" right="0.19685039370078741" top="0.39370078740157483" bottom="0.78740157480314965" header="0.31496062992125984" footer="0.31496062992125984"/>
  <pageSetup paperSize="9" scale="67" fitToHeight="3" orientation="portrait" r:id="rId1"/>
  <headerFooter>
    <oddFooter>Página &amp;P de 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EACCF-32F8-49FF-818D-2C0B40A7E427}">
  <sheetPr codeName="Planilha10">
    <tabColor theme="8" tint="-0.499984740745262"/>
  </sheetPr>
  <dimension ref="A1:M29"/>
  <sheetViews>
    <sheetView showGridLines="0" showRowColHeaders="0" zoomScaleNormal="100" workbookViewId="0"/>
  </sheetViews>
  <sheetFormatPr defaultColWidth="0" defaultRowHeight="14.5" customHeight="1" x14ac:dyDescent="0.35"/>
  <cols>
    <col min="1" max="1" width="1.81640625" customWidth="1"/>
    <col min="2" max="2" width="50.81640625" customWidth="1"/>
    <col min="3" max="3" width="100.81640625" style="9" customWidth="1"/>
    <col min="4" max="4" width="50.81640625" customWidth="1"/>
    <col min="5" max="5" width="51.1796875" customWidth="1"/>
    <col min="6" max="6" width="17.81640625" customWidth="1"/>
    <col min="7" max="7" width="1.81640625" customWidth="1"/>
    <col min="8" max="8" width="44.54296875" customWidth="1"/>
    <col min="9" max="9" width="1.81640625" customWidth="1"/>
    <col min="10" max="10" width="1.81640625" hidden="1" customWidth="1"/>
    <col min="11" max="11" width="25" hidden="1" customWidth="1"/>
    <col min="12" max="12" width="6.81640625" hidden="1" customWidth="1"/>
    <col min="13" max="13" width="3.81640625" hidden="1" customWidth="1"/>
    <col min="14" max="16384" width="8.81640625" hidden="1"/>
  </cols>
  <sheetData>
    <row r="1" spans="2:3" s="2" customFormat="1" x14ac:dyDescent="0.35">
      <c r="C1" s="8"/>
    </row>
    <row r="2" spans="2:3" s="2" customFormat="1" x14ac:dyDescent="0.35">
      <c r="C2" s="8"/>
    </row>
    <row r="3" spans="2:3" s="2" customFormat="1" x14ac:dyDescent="0.35">
      <c r="C3" s="8"/>
    </row>
    <row r="4" spans="2:3" ht="2.15" customHeight="1" x14ac:dyDescent="0.35"/>
    <row r="5" spans="2:3" s="1" customFormat="1" ht="5.15" customHeight="1" x14ac:dyDescent="0.35">
      <c r="C5" s="10"/>
    </row>
    <row r="6" spans="2:3" ht="3" customHeight="1" x14ac:dyDescent="0.35"/>
    <row r="7" spans="2:3" s="1" customFormat="1" ht="5.15" customHeight="1" x14ac:dyDescent="0.35">
      <c r="C7" s="10"/>
    </row>
    <row r="8" spans="2:3" ht="2.15" customHeight="1" x14ac:dyDescent="0.35"/>
    <row r="9" spans="2:3" ht="30" customHeight="1" x14ac:dyDescent="0.35"/>
    <row r="10" spans="2:3" ht="5.15" customHeight="1" x14ac:dyDescent="0.35">
      <c r="B10" s="6"/>
    </row>
    <row r="11" spans="2:3" ht="5.15" customHeight="1" x14ac:dyDescent="0.35"/>
    <row r="12" spans="2:3" ht="40" customHeight="1" x14ac:dyDescent="0.35">
      <c r="B12" s="52" t="s">
        <v>30</v>
      </c>
      <c r="C12" s="53"/>
    </row>
    <row r="13" spans="2:3" ht="16" customHeight="1" x14ac:dyDescent="0.35">
      <c r="B13" s="49" t="s">
        <v>1</v>
      </c>
      <c r="C13" s="49" t="s">
        <v>31</v>
      </c>
    </row>
    <row r="14" spans="2:3" ht="16" customHeight="1" x14ac:dyDescent="0.35">
      <c r="B14" s="49"/>
      <c r="C14" s="49"/>
    </row>
    <row r="15" spans="2:3" ht="14.5" customHeight="1" x14ac:dyDescent="0.35">
      <c r="B15" s="14" t="str">
        <f>IF(CADASTRO!B15="","",CADASTRO!B15)</f>
        <v>João Paulo, o empreendedor</v>
      </c>
      <c r="C15" s="4" t="s">
        <v>32</v>
      </c>
    </row>
    <row r="16" spans="2:3" ht="14.5" customHeight="1" x14ac:dyDescent="0.35">
      <c r="B16" s="14" t="str">
        <f>IF(CADASTRO!B16="","",CADASTRO!B16)</f>
        <v>Maria Lucia, a advogada</v>
      </c>
      <c r="C16" s="4" t="s">
        <v>33</v>
      </c>
    </row>
    <row r="17" spans="2:3" ht="14.5" customHeight="1" x14ac:dyDescent="0.35">
      <c r="B17" s="14" t="str">
        <f>IF(CADASTRO!B17="","",CADASTRO!B17)</f>
        <v>Felipe Alves, o diretor comercial</v>
      </c>
      <c r="C17" s="4" t="s">
        <v>34</v>
      </c>
    </row>
    <row r="18" spans="2:3" ht="14.5" customHeight="1" x14ac:dyDescent="0.35">
      <c r="B18" s="14" t="str">
        <f>IF(CADASTRO!B18="","",CADASTRO!B18)</f>
        <v>Adriana, A administradora</v>
      </c>
      <c r="C18" s="4" t="s">
        <v>68</v>
      </c>
    </row>
    <row r="19" spans="2:3" ht="14.5" customHeight="1" x14ac:dyDescent="0.35">
      <c r="B19" s="14" t="str">
        <f>IF(CADASTRO!B19="","",CADASTRO!B19)</f>
        <v>Pedro, o Jornalista</v>
      </c>
      <c r="C19" s="4" t="s">
        <v>69</v>
      </c>
    </row>
    <row r="20" spans="2:3" ht="14.5" customHeight="1" x14ac:dyDescent="0.35">
      <c r="B20" s="14" t="str">
        <f>IF(CADASTRO!B20="","",CADASTRO!B20)</f>
        <v/>
      </c>
      <c r="C20" s="4"/>
    </row>
    <row r="21" spans="2:3" ht="14.5" customHeight="1" x14ac:dyDescent="0.35">
      <c r="B21" s="14" t="str">
        <f>IF(CADASTRO!B21="","",CADASTRO!B21)</f>
        <v/>
      </c>
      <c r="C21" s="4"/>
    </row>
    <row r="22" spans="2:3" ht="14.5" customHeight="1" x14ac:dyDescent="0.35">
      <c r="B22" s="14" t="str">
        <f>IF(CADASTRO!B22="","",CADASTRO!B22)</f>
        <v/>
      </c>
      <c r="C22" s="4"/>
    </row>
    <row r="23" spans="2:3" ht="14.5" customHeight="1" x14ac:dyDescent="0.35">
      <c r="B23" s="14" t="str">
        <f>IF(CADASTRO!B23="","",CADASTRO!B23)</f>
        <v/>
      </c>
      <c r="C23" s="4"/>
    </row>
    <row r="24" spans="2:3" ht="14.5" customHeight="1" x14ac:dyDescent="0.35">
      <c r="B24" s="14" t="str">
        <f>IF(CADASTRO!B24="","",CADASTRO!B24)</f>
        <v/>
      </c>
      <c r="C24" s="4"/>
    </row>
    <row r="25" spans="2:3" ht="14.5" customHeight="1" x14ac:dyDescent="0.35">
      <c r="B25" s="14" t="str">
        <f>IF(CADASTRO!B25="","",CADASTRO!B25)</f>
        <v/>
      </c>
      <c r="C25" s="4"/>
    </row>
    <row r="26" spans="2:3" ht="14.5" customHeight="1" x14ac:dyDescent="0.35">
      <c r="B26" s="14" t="str">
        <f>IF(CADASTRO!B26="","",CADASTRO!B26)</f>
        <v/>
      </c>
      <c r="C26" s="4"/>
    </row>
    <row r="27" spans="2:3" ht="14.5" customHeight="1" x14ac:dyDescent="0.35">
      <c r="B27" s="14" t="str">
        <f>IF(CADASTRO!B27="","",CADASTRO!B27)</f>
        <v/>
      </c>
      <c r="C27" s="4"/>
    </row>
    <row r="28" spans="2:3" ht="14.5" customHeight="1" x14ac:dyDescent="0.35">
      <c r="B28" s="14" t="str">
        <f>IF(CADASTRO!B28="","",CADASTRO!B28)</f>
        <v/>
      </c>
      <c r="C28" s="4"/>
    </row>
    <row r="29" spans="2:3" ht="14.5" customHeight="1" x14ac:dyDescent="0.35">
      <c r="B29" s="14" t="str">
        <f>IF(CADASTRO!B29="","",CADASTRO!B29)</f>
        <v/>
      </c>
      <c r="C29" s="4"/>
    </row>
  </sheetData>
  <mergeCells count="3">
    <mergeCell ref="B13:B14"/>
    <mergeCell ref="C13:C14"/>
    <mergeCell ref="B12:C12"/>
  </mergeCells>
  <printOptions horizontalCentered="1"/>
  <pageMargins left="0.19685039370078741" right="0.19685039370078741" top="0.39370078740157483" bottom="0.78740157480314965" header="0.31496062992125984" footer="0.31496062992125984"/>
  <pageSetup paperSize="9" scale="67" fitToHeight="3" orientation="portrait" r:id="rId1"/>
  <headerFooter>
    <oddFooter>Página &amp;P de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68FE3-3C3A-4E64-8505-6342C295C97C}">
  <sheetPr codeName="Planilha11">
    <tabColor theme="8" tint="-0.499984740745262"/>
  </sheetPr>
  <dimension ref="A1:M29"/>
  <sheetViews>
    <sheetView showGridLines="0" showRowColHeaders="0" zoomScaleNormal="100" workbookViewId="0">
      <pane ySplit="14" topLeftCell="A15" activePane="bottomLeft" state="frozen"/>
      <selection pane="bottomLeft"/>
    </sheetView>
  </sheetViews>
  <sheetFormatPr defaultColWidth="0" defaultRowHeight="14.5" customHeight="1" x14ac:dyDescent="0.35"/>
  <cols>
    <col min="1" max="1" width="1.81640625" customWidth="1"/>
    <col min="2" max="2" width="50.81640625" customWidth="1"/>
    <col min="3" max="3" width="30.81640625" style="9" customWidth="1"/>
    <col min="4" max="4" width="50.81640625" customWidth="1"/>
    <col min="5" max="5" width="51.1796875" customWidth="1"/>
    <col min="6" max="6" width="17.81640625" customWidth="1"/>
    <col min="7" max="7" width="1.81640625" customWidth="1"/>
    <col min="8" max="8" width="44.54296875" customWidth="1"/>
    <col min="9" max="9" width="1.81640625" customWidth="1"/>
    <col min="10" max="10" width="1.81640625" hidden="1" customWidth="1"/>
    <col min="11" max="11" width="25" hidden="1" customWidth="1"/>
    <col min="12" max="12" width="6.81640625" hidden="1" customWidth="1"/>
    <col min="13" max="13" width="3.81640625" hidden="1" customWidth="1"/>
    <col min="14" max="16384" width="8.81640625" hidden="1"/>
  </cols>
  <sheetData>
    <row r="1" spans="2:4" s="2" customFormat="1" x14ac:dyDescent="0.35">
      <c r="C1" s="8"/>
    </row>
    <row r="2" spans="2:4" s="2" customFormat="1" x14ac:dyDescent="0.35">
      <c r="C2" s="8"/>
    </row>
    <row r="3" spans="2:4" s="2" customFormat="1" x14ac:dyDescent="0.35">
      <c r="C3" s="8"/>
    </row>
    <row r="4" spans="2:4" ht="2.15" customHeight="1" x14ac:dyDescent="0.35"/>
    <row r="5" spans="2:4" s="1" customFormat="1" ht="5.15" customHeight="1" x14ac:dyDescent="0.35">
      <c r="C5" s="10"/>
    </row>
    <row r="6" spans="2:4" ht="3" customHeight="1" x14ac:dyDescent="0.35"/>
    <row r="7" spans="2:4" s="1" customFormat="1" ht="5.15" customHeight="1" x14ac:dyDescent="0.35">
      <c r="C7" s="10"/>
    </row>
    <row r="8" spans="2:4" ht="2.15" customHeight="1" x14ac:dyDescent="0.35"/>
    <row r="9" spans="2:4" ht="30" customHeight="1" x14ac:dyDescent="0.35"/>
    <row r="10" spans="2:4" ht="5.15" customHeight="1" x14ac:dyDescent="0.35">
      <c r="B10" s="6"/>
    </row>
    <row r="11" spans="2:4" ht="5.15" customHeight="1" x14ac:dyDescent="0.35"/>
    <row r="12" spans="2:4" ht="40" customHeight="1" x14ac:dyDescent="0.35">
      <c r="B12" s="52" t="s">
        <v>35</v>
      </c>
      <c r="C12" s="53"/>
    </row>
    <row r="13" spans="2:4" ht="16" customHeight="1" x14ac:dyDescent="0.35">
      <c r="B13" s="49" t="s">
        <v>1</v>
      </c>
      <c r="C13" s="50" t="s">
        <v>54</v>
      </c>
    </row>
    <row r="14" spans="2:4" ht="16" customHeight="1" x14ac:dyDescent="0.35">
      <c r="B14" s="49"/>
      <c r="C14" s="49"/>
    </row>
    <row r="15" spans="2:4" ht="100" customHeight="1" x14ac:dyDescent="0.35">
      <c r="B15" s="15" t="str">
        <f>IF(CADASTRO!B15="","",CADASTRO!B15)</f>
        <v>João Paulo, o empreendedor</v>
      </c>
      <c r="C15" s="4"/>
      <c r="D15" s="12" t="s">
        <v>39</v>
      </c>
    </row>
    <row r="16" spans="2:4" ht="100" customHeight="1" x14ac:dyDescent="0.35">
      <c r="B16" s="15" t="str">
        <f>IF(CADASTRO!B16="","",CADASTRO!B16)</f>
        <v>Maria Lucia, a advogada</v>
      </c>
      <c r="C16" s="4"/>
      <c r="D16" s="12" t="s">
        <v>40</v>
      </c>
    </row>
    <row r="17" spans="2:4" ht="100" customHeight="1" x14ac:dyDescent="0.35">
      <c r="B17" s="15" t="str">
        <f>IF(CADASTRO!B17="","",CADASTRO!B17)</f>
        <v>Felipe Alves, o diretor comercial</v>
      </c>
      <c r="C17" s="4"/>
      <c r="D17" s="12" t="s">
        <v>41</v>
      </c>
    </row>
    <row r="18" spans="2:4" ht="100" customHeight="1" x14ac:dyDescent="0.35">
      <c r="B18" s="15" t="str">
        <f>IF(CADASTRO!B18="","",CADASTRO!B18)</f>
        <v>Adriana, A administradora</v>
      </c>
      <c r="C18" s="4"/>
      <c r="D18" s="12" t="s">
        <v>42</v>
      </c>
    </row>
    <row r="19" spans="2:4" ht="100" customHeight="1" x14ac:dyDescent="0.35">
      <c r="B19" s="15" t="str">
        <f>IF(CADASTRO!B19="","",CADASTRO!B19)</f>
        <v>Pedro, o Jornalista</v>
      </c>
      <c r="C19" s="4"/>
      <c r="D19" s="12" t="s">
        <v>43</v>
      </c>
    </row>
    <row r="20" spans="2:4" ht="100" customHeight="1" x14ac:dyDescent="0.35">
      <c r="B20" s="15" t="str">
        <f>IF(CADASTRO!B20="","",CADASTRO!B20)</f>
        <v/>
      </c>
      <c r="C20" s="4"/>
      <c r="D20" s="12" t="s">
        <v>44</v>
      </c>
    </row>
    <row r="21" spans="2:4" ht="100" customHeight="1" x14ac:dyDescent="0.35">
      <c r="B21" s="15" t="str">
        <f>IF(CADASTRO!B21="","",CADASTRO!B21)</f>
        <v/>
      </c>
      <c r="C21" s="4"/>
      <c r="D21" s="12" t="s">
        <v>45</v>
      </c>
    </row>
    <row r="22" spans="2:4" ht="100" customHeight="1" x14ac:dyDescent="0.35">
      <c r="B22" s="15" t="str">
        <f>IF(CADASTRO!B22="","",CADASTRO!B22)</f>
        <v/>
      </c>
      <c r="C22" s="4"/>
      <c r="D22" s="12" t="s">
        <v>46</v>
      </c>
    </row>
    <row r="23" spans="2:4" ht="100" customHeight="1" x14ac:dyDescent="0.35">
      <c r="B23" s="15" t="str">
        <f>IF(CADASTRO!B23="","",CADASTRO!B23)</f>
        <v/>
      </c>
      <c r="C23" s="4"/>
      <c r="D23" s="12" t="s">
        <v>47</v>
      </c>
    </row>
    <row r="24" spans="2:4" ht="100" customHeight="1" x14ac:dyDescent="0.35">
      <c r="B24" s="15" t="str">
        <f>IF(CADASTRO!B24="","",CADASTRO!B24)</f>
        <v/>
      </c>
      <c r="C24" s="4"/>
      <c r="D24" s="12" t="s">
        <v>48</v>
      </c>
    </row>
    <row r="25" spans="2:4" ht="100" customHeight="1" x14ac:dyDescent="0.35">
      <c r="B25" s="15" t="str">
        <f>IF(CADASTRO!B25="","",CADASTRO!B25)</f>
        <v/>
      </c>
      <c r="C25" s="4"/>
      <c r="D25" s="12" t="s">
        <v>49</v>
      </c>
    </row>
    <row r="26" spans="2:4" ht="100" customHeight="1" x14ac:dyDescent="0.35">
      <c r="B26" s="15" t="str">
        <f>IF(CADASTRO!B26="","",CADASTRO!B26)</f>
        <v/>
      </c>
      <c r="C26" s="4"/>
      <c r="D26" s="12" t="s">
        <v>50</v>
      </c>
    </row>
    <row r="27" spans="2:4" ht="100" customHeight="1" x14ac:dyDescent="0.35">
      <c r="B27" s="15" t="str">
        <f>IF(CADASTRO!B27="","",CADASTRO!B27)</f>
        <v/>
      </c>
      <c r="C27" s="4"/>
      <c r="D27" s="12" t="s">
        <v>51</v>
      </c>
    </row>
    <row r="28" spans="2:4" ht="100" customHeight="1" x14ac:dyDescent="0.35">
      <c r="B28" s="15" t="str">
        <f>IF(CADASTRO!B28="","",CADASTRO!B28)</f>
        <v/>
      </c>
      <c r="C28" s="4"/>
      <c r="D28" s="12" t="s">
        <v>52</v>
      </c>
    </row>
    <row r="29" spans="2:4" ht="100" customHeight="1" x14ac:dyDescent="0.35">
      <c r="B29" s="15" t="str">
        <f>IF(CADASTRO!B29="","",CADASTRO!B29)</f>
        <v/>
      </c>
      <c r="C29" s="4"/>
      <c r="D29" s="12" t="s">
        <v>53</v>
      </c>
    </row>
  </sheetData>
  <mergeCells count="3">
    <mergeCell ref="B12:C12"/>
    <mergeCell ref="B13:B14"/>
    <mergeCell ref="C13:C14"/>
  </mergeCells>
  <phoneticPr fontId="5" type="noConversion"/>
  <printOptions horizontalCentered="1"/>
  <pageMargins left="0.19685039370078741" right="0.19685039370078741" top="0.39370078740157483" bottom="0.78740157480314965" header="0.31496062992125984" footer="0.31496062992125984"/>
  <pageSetup paperSize="9" scale="67" fitToHeight="3" orientation="portrait" r:id="rId1"/>
  <headerFooter>
    <oddFooter>Página &amp;P de &amp;N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00BFC-D6B1-4FF3-A748-61D714A321E5}">
  <sheetPr codeName="Planilha15">
    <tabColor theme="8" tint="-0.499984740745262"/>
    <pageSetUpPr fitToPage="1"/>
  </sheetPr>
  <dimension ref="B1:N96"/>
  <sheetViews>
    <sheetView showGridLines="0" showRowColHeaders="0" zoomScaleNormal="100" workbookViewId="0"/>
  </sheetViews>
  <sheetFormatPr defaultColWidth="8.81640625" defaultRowHeight="14.5" customHeight="1" zeroHeight="1" x14ac:dyDescent="0.35"/>
  <cols>
    <col min="1" max="1" width="1.81640625" customWidth="1"/>
    <col min="2" max="2" width="13" customWidth="1"/>
    <col min="3" max="3" width="20.7265625" style="9" customWidth="1"/>
    <col min="4" max="4" width="20.7265625" customWidth="1"/>
    <col min="5" max="6" width="2.7265625" customWidth="1"/>
    <col min="7" max="7" width="20.81640625" customWidth="1"/>
    <col min="8" max="8" width="14" customWidth="1"/>
    <col min="9" max="9" width="20.81640625" customWidth="1"/>
    <col min="10" max="13" width="12.81640625" customWidth="1"/>
    <col min="14" max="14" width="2.7265625" customWidth="1"/>
    <col min="15" max="17" width="12.81640625" customWidth="1"/>
  </cols>
  <sheetData>
    <row r="1" spans="2:14" s="2" customFormat="1" x14ac:dyDescent="0.35">
      <c r="C1" s="8"/>
    </row>
    <row r="2" spans="2:14" s="2" customFormat="1" x14ac:dyDescent="0.35">
      <c r="C2" s="8"/>
    </row>
    <row r="3" spans="2:14" s="2" customFormat="1" x14ac:dyDescent="0.35">
      <c r="C3" s="8"/>
    </row>
    <row r="4" spans="2:14" ht="2.15" customHeight="1" x14ac:dyDescent="0.35"/>
    <row r="5" spans="2:14" s="1" customFormat="1" ht="5.15" customHeight="1" x14ac:dyDescent="0.35">
      <c r="C5" s="10"/>
    </row>
    <row r="6" spans="2:14" ht="3" customHeight="1" x14ac:dyDescent="0.35"/>
    <row r="7" spans="2:14" s="1" customFormat="1" ht="5.15" customHeight="1" x14ac:dyDescent="0.35">
      <c r="C7" s="10"/>
    </row>
    <row r="8" spans="2:14" ht="2.15" customHeight="1" x14ac:dyDescent="0.35"/>
    <row r="9" spans="2:14" ht="30" customHeight="1" x14ac:dyDescent="0.35"/>
    <row r="10" spans="2:14" ht="20.149999999999999" customHeight="1" x14ac:dyDescent="0.35">
      <c r="B10" s="6"/>
    </row>
    <row r="11" spans="2:14" ht="5.15" customHeight="1" x14ac:dyDescent="0.35"/>
    <row r="12" spans="2:14" ht="14.5" customHeight="1" x14ac:dyDescent="0.35">
      <c r="B12" s="16" t="s">
        <v>36</v>
      </c>
      <c r="C12"/>
      <c r="D12" s="58" t="s">
        <v>70</v>
      </c>
      <c r="E12" s="58"/>
      <c r="F12" s="58"/>
      <c r="G12" s="58"/>
      <c r="H12" s="20"/>
      <c r="I12" s="20"/>
      <c r="M12" s="18" t="str">
        <f>VLOOKUP(B22,FOTO!$B$15:$D$29,3,0)</f>
        <v>Foto04</v>
      </c>
      <c r="N12" s="18"/>
    </row>
    <row r="13" spans="2:14" ht="14.5" customHeight="1" x14ac:dyDescent="0.35"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</row>
    <row r="14" spans="2:14" ht="14.5" customHeight="1" x14ac:dyDescent="0.35">
      <c r="B14" s="24"/>
      <c r="C14" s="24"/>
      <c r="D14" s="27"/>
      <c r="E14" s="27"/>
      <c r="F14" s="27"/>
      <c r="G14" s="27"/>
      <c r="H14" s="60">
        <f>IFERROR(VLOOKUP(B22,CADASTRO!$B$15:$F$29,4,0),"")</f>
        <v>34</v>
      </c>
      <c r="I14" s="28"/>
      <c r="J14" s="27"/>
      <c r="K14" s="27"/>
      <c r="L14" s="27"/>
      <c r="M14" s="27"/>
      <c r="N14" s="27"/>
    </row>
    <row r="15" spans="2:14" ht="14.5" customHeight="1" x14ac:dyDescent="0.35">
      <c r="B15" s="24"/>
      <c r="C15" s="24"/>
      <c r="D15" s="27"/>
      <c r="E15" s="27"/>
      <c r="F15" s="27"/>
      <c r="G15" s="27"/>
      <c r="H15" s="60"/>
      <c r="I15" s="28"/>
      <c r="J15" s="27"/>
      <c r="K15" s="27"/>
      <c r="L15" s="27"/>
      <c r="M15" s="27"/>
      <c r="N15" s="27"/>
    </row>
    <row r="16" spans="2:14" ht="14.5" customHeight="1" x14ac:dyDescent="0.35">
      <c r="B16" s="24"/>
      <c r="C16" s="24"/>
      <c r="D16" s="27"/>
      <c r="E16" s="27"/>
      <c r="F16" s="27"/>
      <c r="G16" s="27"/>
      <c r="H16" s="60"/>
      <c r="I16" s="28"/>
      <c r="J16" s="27"/>
      <c r="K16" s="27"/>
      <c r="L16" s="27"/>
      <c r="M16" s="27"/>
      <c r="N16" s="27"/>
    </row>
    <row r="17" spans="2:14" ht="14.5" customHeight="1" x14ac:dyDescent="0.35">
      <c r="B17" s="24"/>
      <c r="C17" s="24"/>
      <c r="D17" s="27"/>
      <c r="E17" s="27"/>
      <c r="F17" s="27"/>
      <c r="G17" s="27"/>
      <c r="H17" s="60"/>
      <c r="I17" s="28"/>
      <c r="J17" s="27"/>
      <c r="K17" s="27"/>
      <c r="L17" s="27"/>
      <c r="M17" s="27"/>
      <c r="N17" s="27"/>
    </row>
    <row r="18" spans="2:14" ht="14.5" customHeight="1" x14ac:dyDescent="0.35">
      <c r="B18" s="24"/>
      <c r="C18" s="24"/>
      <c r="D18" s="27"/>
      <c r="E18" s="27"/>
      <c r="F18" s="27"/>
      <c r="G18" s="27"/>
      <c r="H18" s="60"/>
      <c r="I18" s="28"/>
      <c r="J18" s="27"/>
      <c r="K18" s="27"/>
      <c r="L18" s="27"/>
      <c r="M18" s="27"/>
      <c r="N18" s="27"/>
    </row>
    <row r="19" spans="2:14" ht="15" customHeight="1" x14ac:dyDescent="0.35">
      <c r="B19" s="24"/>
      <c r="C19" s="24"/>
      <c r="D19" s="27"/>
      <c r="E19" s="27"/>
      <c r="F19" s="27"/>
      <c r="G19" s="27"/>
      <c r="H19" s="60"/>
      <c r="I19" s="28"/>
      <c r="J19" s="27"/>
      <c r="K19" s="27"/>
      <c r="L19" s="27"/>
      <c r="M19" s="27"/>
      <c r="N19" s="27"/>
    </row>
    <row r="20" spans="2:14" ht="15" customHeight="1" x14ac:dyDescent="0.55000000000000004">
      <c r="B20" s="26"/>
      <c r="C20" s="25"/>
      <c r="D20" s="28"/>
      <c r="E20" s="28"/>
      <c r="F20" s="28"/>
      <c r="G20" s="28"/>
      <c r="H20" s="61" t="s">
        <v>71</v>
      </c>
      <c r="I20" s="28"/>
      <c r="J20" s="27"/>
      <c r="K20" s="29"/>
      <c r="L20" s="29"/>
      <c r="M20" s="29"/>
      <c r="N20" s="29"/>
    </row>
    <row r="21" spans="2:14" ht="15" customHeight="1" x14ac:dyDescent="0.55000000000000004">
      <c r="B21" s="26"/>
      <c r="C21" s="25"/>
      <c r="D21" s="29"/>
      <c r="E21" s="29"/>
      <c r="F21" s="29"/>
      <c r="G21" s="29"/>
      <c r="H21" s="61"/>
      <c r="I21" s="28"/>
      <c r="J21" s="27"/>
      <c r="K21" s="29"/>
      <c r="L21" s="29"/>
      <c r="M21" s="29"/>
      <c r="N21" s="29"/>
    </row>
    <row r="22" spans="2:14" ht="15" customHeight="1" x14ac:dyDescent="0.5">
      <c r="B22" s="59" t="str">
        <f>D12</f>
        <v>Adriana, A administradora</v>
      </c>
      <c r="C22" s="59"/>
      <c r="D22" s="59"/>
      <c r="E22" s="31"/>
      <c r="F22" s="31"/>
      <c r="G22" s="11"/>
      <c r="H22" s="32"/>
      <c r="I22" s="62"/>
      <c r="J22" s="62"/>
      <c r="K22" s="62"/>
      <c r="L22" s="62"/>
      <c r="M22" s="62"/>
      <c r="N22" s="41"/>
    </row>
    <row r="23" spans="2:14" ht="15" customHeight="1" x14ac:dyDescent="0.35">
      <c r="B23" s="59"/>
      <c r="C23" s="59"/>
      <c r="D23" s="59"/>
      <c r="E23" s="11"/>
      <c r="F23" s="11"/>
      <c r="G23" s="11"/>
      <c r="H23" s="11"/>
      <c r="I23" s="62"/>
      <c r="J23" s="62"/>
      <c r="K23" s="62"/>
      <c r="L23" s="62"/>
      <c r="M23" s="62"/>
      <c r="N23" s="41"/>
    </row>
    <row r="24" spans="2:14" ht="15" customHeight="1" x14ac:dyDescent="0.35">
      <c r="B24" s="59"/>
      <c r="C24" s="59"/>
      <c r="D24" s="59"/>
      <c r="E24" s="11"/>
      <c r="F24" s="11"/>
      <c r="G24" s="11"/>
      <c r="H24" s="11"/>
      <c r="I24" s="62"/>
      <c r="J24" s="62"/>
      <c r="K24" s="62"/>
      <c r="L24" s="62"/>
      <c r="M24" s="62"/>
      <c r="N24" s="41"/>
    </row>
    <row r="25" spans="2:14" ht="15" customHeight="1" x14ac:dyDescent="0.35">
      <c r="C25"/>
    </row>
    <row r="26" spans="2:14" ht="15" customHeight="1" x14ac:dyDescent="0.35">
      <c r="B26" s="26"/>
      <c r="C26" s="36"/>
      <c r="D26" s="28"/>
      <c r="E26" s="28"/>
      <c r="G26" s="28"/>
      <c r="H26" s="28"/>
      <c r="I26" s="28"/>
      <c r="J26" s="28"/>
      <c r="K26" s="28"/>
      <c r="L26" s="28"/>
      <c r="M26" s="28"/>
      <c r="N26" s="28"/>
    </row>
    <row r="27" spans="2:14" ht="15" customHeight="1" x14ac:dyDescent="0.5">
      <c r="B27" s="26"/>
      <c r="C27" s="37" t="s">
        <v>37</v>
      </c>
      <c r="D27" s="28"/>
      <c r="E27" s="28"/>
      <c r="G27" s="30"/>
      <c r="H27" s="28"/>
      <c r="I27" s="28"/>
      <c r="J27" s="28"/>
      <c r="K27" s="28"/>
      <c r="L27" s="28"/>
      <c r="M27" s="28"/>
      <c r="N27" s="28"/>
    </row>
    <row r="28" spans="2:14" ht="15" customHeight="1" x14ac:dyDescent="0.35">
      <c r="B28" s="26"/>
      <c r="C28" s="54" t="str">
        <f>IFERROR(VLOOKUP(B22,INFORMAÇÕES!$B$15:$D$29,2,0),"")</f>
        <v>BA</v>
      </c>
      <c r="D28" s="54"/>
      <c r="E28" s="28"/>
      <c r="G28" s="28"/>
      <c r="H28" s="28"/>
      <c r="I28" s="28"/>
      <c r="J28" s="28"/>
      <c r="K28" s="28"/>
      <c r="L28" s="28"/>
      <c r="M28" s="28"/>
      <c r="N28" s="28"/>
    </row>
    <row r="29" spans="2:14" ht="15" customHeight="1" thickBot="1" x14ac:dyDescent="0.4">
      <c r="B29" s="26"/>
      <c r="C29" s="55"/>
      <c r="D29" s="55"/>
      <c r="E29" s="28"/>
      <c r="G29" s="28"/>
      <c r="H29" s="28"/>
      <c r="I29" s="28"/>
      <c r="J29" s="28"/>
      <c r="K29" s="28"/>
      <c r="L29" s="28"/>
      <c r="M29" s="28"/>
      <c r="N29" s="28"/>
    </row>
    <row r="30" spans="2:14" ht="15" customHeight="1" thickTop="1" x14ac:dyDescent="0.35">
      <c r="B30" s="26"/>
      <c r="C30" s="36"/>
      <c r="D30" s="28"/>
      <c r="E30" s="28"/>
      <c r="G30" s="28"/>
      <c r="H30" s="28"/>
      <c r="I30" s="28"/>
      <c r="J30" s="28"/>
      <c r="K30" s="28"/>
      <c r="L30" s="28"/>
      <c r="M30" s="28"/>
      <c r="N30" s="28"/>
    </row>
    <row r="31" spans="2:14" ht="15" customHeight="1" x14ac:dyDescent="0.35">
      <c r="B31" s="26"/>
      <c r="C31" s="37" t="s">
        <v>72</v>
      </c>
      <c r="D31" s="28"/>
      <c r="E31" s="28"/>
      <c r="G31" s="28"/>
      <c r="H31" s="28"/>
      <c r="I31" s="28"/>
      <c r="J31" s="28"/>
      <c r="K31" s="28"/>
      <c r="L31" s="28"/>
      <c r="M31" s="28"/>
      <c r="N31" s="28"/>
    </row>
    <row r="32" spans="2:14" ht="15" customHeight="1" x14ac:dyDescent="0.35">
      <c r="B32" s="26"/>
      <c r="C32" s="54" t="str">
        <f>IFERROR(VLOOKUP(B22,OBJETIVOS!$B$15:$D$29,2,0),"")</f>
        <v>Presença digital</v>
      </c>
      <c r="D32" s="54"/>
      <c r="E32" s="28"/>
      <c r="G32" s="35"/>
      <c r="H32" s="28"/>
      <c r="I32" s="28"/>
      <c r="J32" s="28"/>
      <c r="K32" s="28"/>
      <c r="L32" s="28"/>
      <c r="M32" s="28"/>
      <c r="N32" s="28"/>
    </row>
    <row r="33" spans="2:14" ht="15" customHeight="1" thickBot="1" x14ac:dyDescent="0.4">
      <c r="B33" s="26"/>
      <c r="C33" s="55"/>
      <c r="D33" s="55"/>
      <c r="E33" s="28"/>
      <c r="G33" s="28"/>
      <c r="H33" s="28"/>
      <c r="I33" s="28"/>
      <c r="J33" s="28"/>
      <c r="K33" s="28"/>
      <c r="L33" s="28"/>
      <c r="M33" s="28"/>
      <c r="N33" s="28"/>
    </row>
    <row r="34" spans="2:14" ht="15" customHeight="1" thickTop="1" x14ac:dyDescent="0.35">
      <c r="B34" s="26"/>
      <c r="C34" s="36"/>
      <c r="D34" s="28"/>
      <c r="E34" s="28"/>
      <c r="G34" s="28"/>
      <c r="H34" s="28"/>
      <c r="I34" s="28"/>
      <c r="J34" s="28"/>
      <c r="K34" s="28"/>
      <c r="L34" s="28"/>
      <c r="M34" s="28"/>
      <c r="N34" s="28"/>
    </row>
    <row r="35" spans="2:14" ht="15" customHeight="1" x14ac:dyDescent="0.35">
      <c r="B35" s="26"/>
      <c r="C35" s="37" t="s">
        <v>38</v>
      </c>
      <c r="D35" s="28"/>
      <c r="E35" s="28"/>
      <c r="G35" s="35"/>
      <c r="H35" s="28"/>
      <c r="I35" s="28"/>
      <c r="J35" s="28"/>
      <c r="K35" s="28"/>
      <c r="L35" s="28"/>
      <c r="M35" s="28"/>
      <c r="N35" s="28"/>
    </row>
    <row r="36" spans="2:14" ht="15" customHeight="1" x14ac:dyDescent="0.35">
      <c r="B36" s="26"/>
      <c r="C36" s="54" t="str">
        <f>IFERROR(VLOOKUP(B22,OBJETIVOS!$B$15:$D$29,3,0),"")</f>
        <v>Falta de clientes</v>
      </c>
      <c r="D36" s="54"/>
      <c r="E36" s="28"/>
      <c r="G36" s="35"/>
      <c r="H36" s="28"/>
      <c r="I36" s="28"/>
      <c r="J36" s="28"/>
      <c r="K36" s="28"/>
      <c r="L36" s="28"/>
      <c r="M36" s="28"/>
      <c r="N36" s="28"/>
    </row>
    <row r="37" spans="2:14" ht="15" customHeight="1" thickBot="1" x14ac:dyDescent="0.4">
      <c r="B37" s="26"/>
      <c r="C37" s="55"/>
      <c r="D37" s="55"/>
      <c r="E37" s="28"/>
      <c r="G37" s="35"/>
      <c r="H37" s="28"/>
      <c r="I37" s="28"/>
      <c r="J37" s="28"/>
      <c r="K37" s="28"/>
      <c r="L37" s="28"/>
      <c r="M37" s="28"/>
      <c r="N37" s="28"/>
    </row>
    <row r="38" spans="2:14" ht="15" customHeight="1" thickTop="1" x14ac:dyDescent="0.35">
      <c r="B38" s="26"/>
      <c r="C38" s="28"/>
      <c r="D38" s="28"/>
      <c r="E38" s="28"/>
      <c r="G38" s="35"/>
      <c r="H38" s="28"/>
      <c r="I38" s="28"/>
      <c r="J38" s="28"/>
      <c r="K38" s="28"/>
      <c r="L38" s="28"/>
      <c r="M38" s="28"/>
      <c r="N38" s="28"/>
    </row>
    <row r="39" spans="2:14" s="2" customFormat="1" ht="15" customHeight="1" x14ac:dyDescent="0.35"/>
    <row r="40" spans="2:14" s="2" customFormat="1" ht="15" customHeight="1" x14ac:dyDescent="0.35">
      <c r="B40" s="28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</row>
    <row r="41" spans="2:14" s="2" customFormat="1" ht="15" customHeight="1" x14ac:dyDescent="0.35">
      <c r="B41" s="28"/>
      <c r="C41" s="37" t="s">
        <v>73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</row>
    <row r="42" spans="2:14" ht="15" customHeight="1" x14ac:dyDescent="0.5">
      <c r="B42" s="28"/>
      <c r="C42" s="56" t="str">
        <f>IFERROR(VLOOKUP(B22,AVALIAÇÃO!$B$15:$C$29,2,0),"")</f>
        <v>teste 1</v>
      </c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42"/>
    </row>
    <row r="43" spans="2:14" ht="15" customHeight="1" thickBot="1" x14ac:dyDescent="0.55000000000000004">
      <c r="B43" s="28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42"/>
    </row>
    <row r="44" spans="2:14" ht="15" customHeight="1" thickTop="1" x14ac:dyDescent="0.35">
      <c r="B44" s="28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</row>
    <row r="45" spans="2:14" ht="15" customHeight="1" x14ac:dyDescent="0.35">
      <c r="B45" s="38"/>
      <c r="E45" s="2"/>
      <c r="F45" s="2"/>
      <c r="G45" s="2"/>
      <c r="H45" s="2"/>
      <c r="I45" s="2"/>
      <c r="J45" s="2"/>
      <c r="K45" s="2"/>
      <c r="L45" s="2"/>
      <c r="M45" s="2"/>
      <c r="N45" s="2"/>
    </row>
    <row r="46" spans="2:14" ht="15" customHeight="1" x14ac:dyDescent="0.35">
      <c r="B46" s="2"/>
      <c r="E46" s="2"/>
      <c r="F46" s="2"/>
      <c r="G46" s="2"/>
      <c r="H46" s="2"/>
      <c r="I46" s="2"/>
      <c r="J46" s="2"/>
      <c r="K46" s="2"/>
      <c r="L46" s="2"/>
      <c r="M46" s="2"/>
      <c r="N46" s="2"/>
    </row>
    <row r="47" spans="2:14" ht="15" customHeight="1" x14ac:dyDescent="0.35"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</row>
    <row r="48" spans="2:14" ht="15" customHeight="1" x14ac:dyDescent="0.35">
      <c r="B48" s="17"/>
      <c r="C48"/>
    </row>
    <row r="49" spans="2:14" ht="15" customHeight="1" x14ac:dyDescent="0.35">
      <c r="B49" s="33"/>
      <c r="C49"/>
    </row>
    <row r="50" spans="2:14" ht="15" customHeight="1" x14ac:dyDescent="0.35"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</row>
    <row r="51" spans="2:14" ht="15" customHeight="1" x14ac:dyDescent="0.35">
      <c r="B51" s="17"/>
      <c r="C51"/>
    </row>
    <row r="52" spans="2:14" ht="15" customHeight="1" x14ac:dyDescent="0.35">
      <c r="B52" s="33"/>
      <c r="C52"/>
    </row>
    <row r="53" spans="2:14" ht="15" customHeight="1" x14ac:dyDescent="0.35">
      <c r="C53"/>
    </row>
    <row r="54" spans="2:14" ht="15" customHeight="1" x14ac:dyDescent="0.35">
      <c r="B54" s="17"/>
      <c r="C54"/>
    </row>
    <row r="55" spans="2:14" ht="15" customHeight="1" x14ac:dyDescent="0.35">
      <c r="B55" s="33"/>
      <c r="C55"/>
    </row>
    <row r="56" spans="2:14" ht="15" customHeight="1" x14ac:dyDescent="0.35">
      <c r="C56"/>
    </row>
    <row r="57" spans="2:14" ht="15" customHeight="1" x14ac:dyDescent="0.35">
      <c r="B57" s="17"/>
      <c r="C57"/>
    </row>
    <row r="58" spans="2:14" ht="15" customHeight="1" x14ac:dyDescent="0.35">
      <c r="B58" s="33"/>
      <c r="C58"/>
    </row>
    <row r="59" spans="2:14" ht="15" customHeight="1" x14ac:dyDescent="0.35">
      <c r="C59"/>
    </row>
    <row r="60" spans="2:14" ht="15" customHeight="1" x14ac:dyDescent="0.35">
      <c r="C60"/>
    </row>
    <row r="61" spans="2:14" ht="15" customHeight="1" x14ac:dyDescent="0.35">
      <c r="C61"/>
    </row>
    <row r="62" spans="2:14" ht="15" customHeight="1" x14ac:dyDescent="0.35">
      <c r="C62"/>
    </row>
    <row r="63" spans="2:14" ht="15" customHeight="1" x14ac:dyDescent="0.35">
      <c r="C63"/>
    </row>
    <row r="64" spans="2:14" ht="15" customHeight="1" x14ac:dyDescent="0.35">
      <c r="C64"/>
    </row>
    <row r="65" spans="3:3" ht="15" customHeight="1" x14ac:dyDescent="0.35">
      <c r="C65"/>
    </row>
    <row r="66" spans="3:3" ht="15" customHeight="1" x14ac:dyDescent="0.35">
      <c r="C66"/>
    </row>
    <row r="67" spans="3:3" ht="15" customHeight="1" x14ac:dyDescent="0.35">
      <c r="C67"/>
    </row>
    <row r="68" spans="3:3" ht="15" customHeight="1" x14ac:dyDescent="0.35">
      <c r="C68"/>
    </row>
    <row r="69" spans="3:3" ht="15" customHeight="1" x14ac:dyDescent="0.35">
      <c r="C69"/>
    </row>
    <row r="70" spans="3:3" ht="15" customHeight="1" x14ac:dyDescent="0.35">
      <c r="C70"/>
    </row>
    <row r="71" spans="3:3" ht="15" customHeight="1" x14ac:dyDescent="0.35">
      <c r="C71"/>
    </row>
    <row r="72" spans="3:3" ht="15" customHeight="1" x14ac:dyDescent="0.35">
      <c r="C72"/>
    </row>
    <row r="73" spans="3:3" ht="15" customHeight="1" x14ac:dyDescent="0.35">
      <c r="C73"/>
    </row>
    <row r="74" spans="3:3" ht="15" customHeight="1" x14ac:dyDescent="0.35">
      <c r="C74"/>
    </row>
    <row r="75" spans="3:3" ht="15" customHeight="1" x14ac:dyDescent="0.35">
      <c r="C75"/>
    </row>
    <row r="76" spans="3:3" ht="15" customHeight="1" x14ac:dyDescent="0.35">
      <c r="C76"/>
    </row>
    <row r="77" spans="3:3" ht="15" customHeight="1" x14ac:dyDescent="0.35"/>
    <row r="78" spans="3:3" ht="15" customHeight="1" x14ac:dyDescent="0.35"/>
    <row r="79" spans="3:3" ht="15" customHeight="1" x14ac:dyDescent="0.35"/>
    <row r="80" spans="3:3" ht="15" customHeight="1" x14ac:dyDescent="0.35"/>
    <row r="81" ht="15" customHeight="1" x14ac:dyDescent="0.35"/>
    <row r="82" ht="15" customHeight="1" x14ac:dyDescent="0.35"/>
    <row r="83" ht="15" customHeight="1" x14ac:dyDescent="0.35"/>
    <row r="84" ht="15" customHeight="1" x14ac:dyDescent="0.35"/>
    <row r="85" ht="14.5" customHeight="1" x14ac:dyDescent="0.35"/>
    <row r="86" ht="14.5" customHeight="1" x14ac:dyDescent="0.35"/>
    <row r="87" ht="14.5" customHeight="1" x14ac:dyDescent="0.35"/>
    <row r="88" ht="14.5" customHeight="1" x14ac:dyDescent="0.35"/>
    <row r="89" ht="14.5" customHeight="1" x14ac:dyDescent="0.35"/>
    <row r="90" ht="14.5" customHeight="1" x14ac:dyDescent="0.35"/>
    <row r="91" ht="14.5" customHeight="1" x14ac:dyDescent="0.35"/>
    <row r="92" ht="14.5" customHeight="1" x14ac:dyDescent="0.35"/>
    <row r="93" ht="14.5" customHeight="1" x14ac:dyDescent="0.35"/>
    <row r="94" ht="14.5" customHeight="1" x14ac:dyDescent="0.35"/>
    <row r="95" ht="14.5" customHeight="1" x14ac:dyDescent="0.35"/>
    <row r="96" ht="14.5" customHeight="1" x14ac:dyDescent="0.35"/>
  </sheetData>
  <mergeCells count="9">
    <mergeCell ref="C28:D29"/>
    <mergeCell ref="C32:D33"/>
    <mergeCell ref="C36:D37"/>
    <mergeCell ref="C42:M43"/>
    <mergeCell ref="D12:G12"/>
    <mergeCell ref="B22:D24"/>
    <mergeCell ref="H14:H19"/>
    <mergeCell ref="H20:H21"/>
    <mergeCell ref="I22:M24"/>
  </mergeCells>
  <dataValidations count="1">
    <dataValidation type="list" allowBlank="1" showInputMessage="1" showErrorMessage="1" sqref="D12" xr:uid="{8C309CB2-886C-4798-B127-EE2F288836D6}">
      <formula1>persona</formula1>
    </dataValidation>
  </dataValidations>
  <printOptions horizontalCentered="1"/>
  <pageMargins left="0.19685039370078741" right="0.19685039370078741" top="0.39370078740157483" bottom="0.78740157480314965" header="0.31496062992125984" footer="0.31496062992125984"/>
  <pageSetup paperSize="9" scale="85" orientation="landscape" r:id="rId1"/>
  <headerFooter>
    <oddFooter>Página &amp;P de &amp;N</oddFooter>
  </headerFooter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ECA77649-C843-4003-8F06-D0C8C8C395C9}">
            <xm:f>Aux!$A$1="Feminino"</xm:f>
            <x14:dxf>
              <fill>
                <patternFill>
                  <bgColor rgb="FFFF33CC"/>
                </patternFill>
              </fill>
            </x14:dxf>
          </x14:cfRule>
          <xm:sqref>B22:N24</xm:sqref>
        </x14:conditionalFormatting>
        <x14:conditionalFormatting xmlns:xm="http://schemas.microsoft.com/office/excel/2006/main">
          <x14:cfRule type="expression" priority="2" id="{E5B039C0-A86F-4A82-BA04-D04F0846907A}">
            <xm:f>Aux!$A$1="Feminino"</xm:f>
            <x14:dxf>
              <font>
                <color rgb="FFFF33CC"/>
              </font>
            </x14:dxf>
          </x14:cfRule>
          <xm:sqref>H14:H21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7463B-E7F7-4BCC-AE0B-3A8066DAA9F0}">
  <sheetPr>
    <tabColor theme="8" tint="-0.499984740745262"/>
  </sheetPr>
  <dimension ref="A1:C30"/>
  <sheetViews>
    <sheetView showGridLines="0" workbookViewId="0">
      <selection activeCell="H2" sqref="H2"/>
    </sheetView>
  </sheetViews>
  <sheetFormatPr defaultRowHeight="14.5" x14ac:dyDescent="0.35"/>
  <cols>
    <col min="1" max="1" width="23.26953125" customWidth="1"/>
    <col min="3" max="3" width="9.7265625" customWidth="1"/>
  </cols>
  <sheetData>
    <row r="1" spans="1:3" ht="80.150000000000006" customHeight="1" x14ac:dyDescent="0.35">
      <c r="A1" s="19" t="str">
        <f>IFERROR(VLOOKUP(FICHA!B22,CADASTRO!$B$15:$F$29,2,0),"")</f>
        <v>Feminino</v>
      </c>
      <c r="C1" t="s">
        <v>9</v>
      </c>
    </row>
    <row r="2" spans="1:3" ht="80.150000000000006" customHeight="1" x14ac:dyDescent="0.35">
      <c r="C2" t="s">
        <v>8</v>
      </c>
    </row>
    <row r="5" spans="1:3" x14ac:dyDescent="0.35">
      <c r="A5" s="19" t="str">
        <f>IFERROR(VLOOKUP(FICHA!B22,CADASTRO!$B$15:$F$29,5,0),"")</f>
        <v>Pós Graduado</v>
      </c>
      <c r="B5" t="s">
        <v>9</v>
      </c>
      <c r="C5" t="s">
        <v>8</v>
      </c>
    </row>
    <row r="6" spans="1:3" x14ac:dyDescent="0.35">
      <c r="A6" t="s">
        <v>55</v>
      </c>
      <c r="B6">
        <f>IF($B$5=$A$1,COUNTIF($A$5,A6),0)</f>
        <v>0</v>
      </c>
      <c r="C6">
        <f>IF($C$5=$A$1,COUNTIF($A$5,A6),0)</f>
        <v>0</v>
      </c>
    </row>
    <row r="7" spans="1:3" x14ac:dyDescent="0.35">
      <c r="A7" t="s">
        <v>13</v>
      </c>
      <c r="B7">
        <f t="shared" ref="B7:B10" si="0">IF($B$5=$A$1,COUNTIF($A$5,A7),0)</f>
        <v>0</v>
      </c>
      <c r="C7">
        <f t="shared" ref="C7:C10" si="1">IF($C$5=$A$1,COUNTIF($A$5,A7),0)</f>
        <v>0</v>
      </c>
    </row>
    <row r="8" spans="1:3" x14ac:dyDescent="0.35">
      <c r="A8" t="s">
        <v>15</v>
      </c>
      <c r="B8">
        <f t="shared" si="0"/>
        <v>1</v>
      </c>
      <c r="C8">
        <f t="shared" si="1"/>
        <v>0</v>
      </c>
    </row>
    <row r="9" spans="1:3" x14ac:dyDescent="0.35">
      <c r="A9" t="s">
        <v>14</v>
      </c>
      <c r="B9">
        <f t="shared" si="0"/>
        <v>0</v>
      </c>
      <c r="C9">
        <f t="shared" si="1"/>
        <v>0</v>
      </c>
    </row>
    <row r="10" spans="1:3" x14ac:dyDescent="0.35">
      <c r="A10" t="s">
        <v>56</v>
      </c>
      <c r="B10">
        <f t="shared" si="0"/>
        <v>0</v>
      </c>
      <c r="C10">
        <f t="shared" si="1"/>
        <v>0</v>
      </c>
    </row>
    <row r="12" spans="1:3" x14ac:dyDescent="0.35">
      <c r="C12" t="s">
        <v>91</v>
      </c>
    </row>
    <row r="13" spans="1:3" x14ac:dyDescent="0.35">
      <c r="A13" t="str">
        <f>INFORMAÇÕES!D14</f>
        <v>Facebook</v>
      </c>
      <c r="B13">
        <f>IFERROR(VLOOKUP(FICHA!$D$12,INFORMAÇÕES!$B$15:$L$29,3,0),"")</f>
        <v>5</v>
      </c>
      <c r="C13">
        <f>SUM(INFORMAÇÕES!$D$15:$D$29)</f>
        <v>33</v>
      </c>
    </row>
    <row r="14" spans="1:3" x14ac:dyDescent="0.35">
      <c r="A14" t="str">
        <f>INFORMAÇÕES!E14</f>
        <v>Instagram</v>
      </c>
      <c r="B14">
        <f>IFERROR(VLOOKUP(FICHA!$D$12,INFORMAÇÕES!$B$15:$L$29,4,0),"")</f>
        <v>5</v>
      </c>
      <c r="C14">
        <f>SUM(INFORMAÇÕES!$E$15:$E$29)</f>
        <v>30</v>
      </c>
    </row>
    <row r="15" spans="1:3" x14ac:dyDescent="0.35">
      <c r="A15" t="str">
        <f>INFORMAÇÕES!F14</f>
        <v>Whatsapp</v>
      </c>
      <c r="B15">
        <f>IFERROR(VLOOKUP(FICHA!$D$12,INFORMAÇÕES!$B$15:$L$29,5,0),"")</f>
        <v>5</v>
      </c>
      <c r="C15">
        <f>SUM(INFORMAÇÕES!$F$15:$F$29)</f>
        <v>35</v>
      </c>
    </row>
    <row r="16" spans="1:3" x14ac:dyDescent="0.35">
      <c r="A16" t="str">
        <f>INFORMAÇÕES!G14</f>
        <v>E-mail</v>
      </c>
      <c r="B16">
        <f>IFERROR(VLOOKUP(FICHA!$D$12,INFORMAÇÕES!$B$15:$L$29,6,0),"")</f>
        <v>10</v>
      </c>
      <c r="C16" s="2">
        <f>SUM(INFORMAÇÕES!$G$15:$G$29)</f>
        <v>32</v>
      </c>
    </row>
    <row r="17" spans="1:3" x14ac:dyDescent="0.35">
      <c r="A17" t="str">
        <f>INFORMAÇÕES!H14</f>
        <v>SMS</v>
      </c>
      <c r="B17">
        <f>IFERROR(VLOOKUP(FICHA!$D$12,INFORMAÇÕES!$B$15:$L$29,7,0),"")</f>
        <v>0</v>
      </c>
      <c r="C17" s="2">
        <f>SUM(INFORMAÇÕES!$H$15:$H$29)</f>
        <v>5</v>
      </c>
    </row>
    <row r="18" spans="1:3" x14ac:dyDescent="0.35">
      <c r="A18" t="str">
        <f>INFORMAÇÕES!I14</f>
        <v>Telegram</v>
      </c>
      <c r="B18">
        <f>IFERROR(VLOOKUP(FICHA!$D$12,INFORMAÇÕES!$B$15:$L$29,8,0),"")</f>
        <v>0</v>
      </c>
      <c r="C18" s="2">
        <f>SUM(INFORMAÇÕES!$I$15:$I$29)</f>
        <v>1</v>
      </c>
    </row>
    <row r="19" spans="1:3" x14ac:dyDescent="0.35">
      <c r="A19" t="str">
        <f>INFORMAÇÕES!J14</f>
        <v>Twitter</v>
      </c>
      <c r="B19">
        <f>IFERROR(VLOOKUP(FICHA!$D$12,INFORMAÇÕES!$B$15:$L$29,9,0),"")</f>
        <v>0</v>
      </c>
      <c r="C19" s="2">
        <f>SUM(INFORMAÇÕES!$J$15:$J$29)</f>
        <v>2</v>
      </c>
    </row>
    <row r="20" spans="1:3" x14ac:dyDescent="0.35">
      <c r="A20" t="str">
        <f>INFORMAÇÕES!K14</f>
        <v>Ligação</v>
      </c>
      <c r="B20">
        <f>IFERROR(VLOOKUP(FICHA!$D$12,INFORMAÇÕES!$B$15:$L$29,10,0),"")</f>
        <v>8</v>
      </c>
      <c r="C20" s="2">
        <f>SUM(INFORMAÇÕES!$K$15:$K$29)</f>
        <v>20</v>
      </c>
    </row>
    <row r="21" spans="1:3" x14ac:dyDescent="0.35">
      <c r="A21" t="str">
        <f>INFORMAÇÕES!L14</f>
        <v>Outros</v>
      </c>
      <c r="B21">
        <f>IFERROR(VLOOKUP(FICHA!$D$12,INFORMAÇÕES!$B$15:$L$29,11,0),"")</f>
        <v>0</v>
      </c>
      <c r="C21" s="2">
        <f>SUM(INFORMAÇÕES!$L$15:$L$29)</f>
        <v>0</v>
      </c>
    </row>
    <row r="22" spans="1:3" x14ac:dyDescent="0.35">
      <c r="C22" t="s">
        <v>91</v>
      </c>
    </row>
    <row r="23" spans="1:3" x14ac:dyDescent="0.35">
      <c r="A23" t="s">
        <v>83</v>
      </c>
      <c r="B23">
        <f>IFERROR(VLOOKUP(FICHA!$D$12,CADASTRO!$B$15:$N$29,6,0),"")</f>
        <v>5</v>
      </c>
      <c r="C23">
        <f>SUM(CADASTRO!$G$15:$G$29)</f>
        <v>35</v>
      </c>
    </row>
    <row r="24" spans="1:3" x14ac:dyDescent="0.35">
      <c r="A24" t="s">
        <v>84</v>
      </c>
      <c r="B24">
        <f>IFERROR(VLOOKUP(FICHA!$D$12,CADASTRO!$B$15:$N$29,7,0),"")</f>
        <v>10</v>
      </c>
      <c r="C24" s="2">
        <f>SUM(CADASTRO!$H$15:$H$29)</f>
        <v>40</v>
      </c>
    </row>
    <row r="25" spans="1:3" x14ac:dyDescent="0.35">
      <c r="A25" t="s">
        <v>85</v>
      </c>
      <c r="B25">
        <f>IFERROR(VLOOKUP(FICHA!$D$12,CADASTRO!$B$15:$N$29,8,0),"")</f>
        <v>10</v>
      </c>
      <c r="C25" s="2">
        <f>SUM(CADASTRO!$I$15:$I$29)</f>
        <v>30</v>
      </c>
    </row>
    <row r="26" spans="1:3" x14ac:dyDescent="0.35">
      <c r="A26" t="s">
        <v>86</v>
      </c>
      <c r="B26">
        <f>IFERROR(VLOOKUP(FICHA!$D$12,CADASTRO!$B$15:$N$29,9,0),"")</f>
        <v>5</v>
      </c>
      <c r="C26" s="2">
        <f>SUM(CADASTRO!$J$15:$J$29)</f>
        <v>40</v>
      </c>
    </row>
    <row r="27" spans="1:3" x14ac:dyDescent="0.35">
      <c r="A27" t="s">
        <v>87</v>
      </c>
      <c r="B27">
        <f>IFERROR(VLOOKUP(FICHA!$D$12,CADASTRO!$B$15:$N$29,10,0),"")</f>
        <v>10</v>
      </c>
      <c r="C27" s="2">
        <f>SUM(CADASTRO!$K$15:$K$29)</f>
        <v>35</v>
      </c>
    </row>
    <row r="28" spans="1:3" x14ac:dyDescent="0.35">
      <c r="A28" t="s">
        <v>88</v>
      </c>
      <c r="B28">
        <f>IFERROR(VLOOKUP(FICHA!$D$12,CADASTRO!$B$15:$N$29,11,0),"")</f>
        <v>5</v>
      </c>
      <c r="C28" s="2">
        <f>SUM(CADASTRO!$L$15:$L$29)</f>
        <v>30</v>
      </c>
    </row>
    <row r="29" spans="1:3" x14ac:dyDescent="0.35">
      <c r="A29" t="s">
        <v>10</v>
      </c>
      <c r="B29">
        <f>IFERROR(VLOOKUP(FICHA!$D$12,CADASTRO!$B$15:$N$29,12,0),"")</f>
        <v>5</v>
      </c>
      <c r="C29" s="2">
        <f>SUM(CADASTRO!$M$15:$M$29)</f>
        <v>30</v>
      </c>
    </row>
    <row r="30" spans="1:3" x14ac:dyDescent="0.35">
      <c r="A30" t="s">
        <v>89</v>
      </c>
      <c r="B30">
        <f>IFERROR(VLOOKUP(FICHA!$D$12,CADASTRO!$B$15:$N$29,13,0),"")</f>
        <v>10</v>
      </c>
      <c r="C30" s="2">
        <f>SUM(CADASTRO!$N$15:$N$29)</f>
        <v>30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F8AFA-8A72-43E8-96F5-CD3843E936D9}">
  <sheetPr codeName="Planilha4">
    <tabColor theme="8" tint="-0.499984740745262"/>
    <pageSetUpPr fitToPage="1"/>
  </sheetPr>
  <dimension ref="A1:V71"/>
  <sheetViews>
    <sheetView showGridLines="0" showRowColHeaders="0" tabSelected="1" zoomScaleNormal="100" workbookViewId="0"/>
  </sheetViews>
  <sheetFormatPr defaultColWidth="0" defaultRowHeight="14.5" customHeight="1" x14ac:dyDescent="0.35"/>
  <cols>
    <col min="1" max="21" width="8.81640625" customWidth="1"/>
    <col min="22" max="22" width="2.81640625" customWidth="1"/>
    <col min="23" max="16384" width="8.81640625" hidden="1"/>
  </cols>
  <sheetData>
    <row r="1" spans="12:12" s="2" customFormat="1" x14ac:dyDescent="0.35"/>
    <row r="2" spans="12:12" s="2" customFormat="1" x14ac:dyDescent="0.35"/>
    <row r="3" spans="12:12" s="2" customFormat="1" x14ac:dyDescent="0.35"/>
    <row r="4" spans="12:12" ht="2.15" customHeight="1" x14ac:dyDescent="0.35"/>
    <row r="5" spans="12:12" s="1" customFormat="1" ht="5.15" customHeight="1" x14ac:dyDescent="0.35"/>
    <row r="6" spans="12:12" ht="3" customHeight="1" x14ac:dyDescent="0.35"/>
    <row r="7" spans="12:12" s="1" customFormat="1" ht="5.15" customHeight="1" x14ac:dyDescent="0.35"/>
    <row r="8" spans="12:12" ht="2.15" customHeight="1" x14ac:dyDescent="0.35"/>
    <row r="9" spans="12:12" ht="30" customHeight="1" x14ac:dyDescent="0.35"/>
    <row r="10" spans="12:12" ht="5.15" customHeight="1" x14ac:dyDescent="0.35"/>
    <row r="11" spans="12:12" ht="11.15" customHeight="1" x14ac:dyDescent="0.35"/>
    <row r="12" spans="12:12" ht="5.15" customHeight="1" x14ac:dyDescent="0.35"/>
    <row r="16" spans="12:12" x14ac:dyDescent="0.35">
      <c r="L16" s="5"/>
    </row>
    <row r="17" spans="12:12" x14ac:dyDescent="0.35">
      <c r="L17" s="5"/>
    </row>
    <row r="18" spans="12:12" x14ac:dyDescent="0.35">
      <c r="L18" s="5"/>
    </row>
    <row r="19" spans="12:12" x14ac:dyDescent="0.35">
      <c r="L19" s="5"/>
    </row>
    <row r="61" spans="2:6" ht="14.5" customHeight="1" x14ac:dyDescent="0.35">
      <c r="B61" t="s">
        <v>8</v>
      </c>
      <c r="C61">
        <f>COUNTIF(CADASTRO!$C$15:$C$29,Dash!B61)</f>
        <v>3</v>
      </c>
      <c r="E61" t="s">
        <v>55</v>
      </c>
      <c r="F61">
        <f>COUNTIF(CADASTRO!$F$15:$F$29,E61)</f>
        <v>1</v>
      </c>
    </row>
    <row r="62" spans="2:6" ht="14.5" customHeight="1" x14ac:dyDescent="0.35">
      <c r="B62" t="s">
        <v>9</v>
      </c>
      <c r="C62">
        <f>COUNTIF(CADASTRO!$C$15:$C$29,Dash!B62)</f>
        <v>2</v>
      </c>
      <c r="E62" t="s">
        <v>13</v>
      </c>
      <c r="F62">
        <f>COUNTIF(CADASTRO!$F$15:$F$29,E62)</f>
        <v>2</v>
      </c>
    </row>
    <row r="63" spans="2:6" ht="14.5" customHeight="1" x14ac:dyDescent="0.35">
      <c r="E63" t="s">
        <v>15</v>
      </c>
      <c r="F63">
        <f>COUNTIF(CADASTRO!$F$15:$F$29,E63)</f>
        <v>2</v>
      </c>
    </row>
    <row r="64" spans="2:6" ht="14.5" customHeight="1" x14ac:dyDescent="0.35">
      <c r="E64" t="s">
        <v>14</v>
      </c>
      <c r="F64">
        <f>COUNTIF(CADASTRO!$F$15:$F$29,E64)</f>
        <v>0</v>
      </c>
    </row>
    <row r="65" spans="2:6" ht="14.5" customHeight="1" x14ac:dyDescent="0.35">
      <c r="E65" t="s">
        <v>56</v>
      </c>
      <c r="F65">
        <f>COUNTIF(CADASTRO!$F$15:$F$29,E65)</f>
        <v>0</v>
      </c>
    </row>
    <row r="71" spans="2:6" ht="14.5" customHeight="1" x14ac:dyDescent="0.35">
      <c r="B71" t="str">
        <f>CONCATENATE("Foram cadastradas ",COUNTA(persona)," Personas")</f>
        <v>Foram cadastradas 5 Personas</v>
      </c>
    </row>
  </sheetData>
  <sheetProtection algorithmName="SHA-512" hashValue="d3RuGYHNNugyDsJqah0PQW7qo5TI3AhAifaYoWyL2HLZgArOLsOEYEKmNKM2S/VVgh6r4c30nZtqiW/+hHGbWA==" saltValue="ouL45VLS/Rdashy+wv1DRA==" spinCount="100000" sheet="1" selectLockedCells="1" selectUnlockedCells="1"/>
  <printOptions horizontalCentered="1"/>
  <pageMargins left="0.19685039370078741" right="0.19685039370078741" top="0.39370078740157483" bottom="0.39370078740157483" header="0.31496062992125984" footer="0.31496062992125984"/>
  <pageSetup paperSize="9" scale="76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7E1BB-DD18-4AE7-8F93-23684D7A1801}">
  <sheetPr codeName="Planilha3">
    <tabColor theme="5"/>
  </sheetPr>
  <dimension ref="A1:M1048576"/>
  <sheetViews>
    <sheetView showGridLines="0" showRowColHeaders="0" zoomScaleNormal="100" workbookViewId="0">
      <pane ySplit="10" topLeftCell="A11" activePane="bottomLeft" state="frozen"/>
      <selection pane="bottomLeft"/>
    </sheetView>
  </sheetViews>
  <sheetFormatPr defaultColWidth="0" defaultRowHeight="14.5" customHeight="1" zeroHeight="1" x14ac:dyDescent="0.35"/>
  <cols>
    <col min="1" max="1" width="1.81640625" customWidth="1"/>
    <col min="2" max="2" width="40.81640625" customWidth="1"/>
    <col min="3" max="3" width="17.81640625" customWidth="1"/>
    <col min="4" max="4" width="1.81640625" customWidth="1"/>
    <col min="5" max="5" width="40.81640625" customWidth="1"/>
    <col min="6" max="6" width="17.81640625" customWidth="1"/>
    <col min="7" max="7" width="1.81640625" customWidth="1"/>
    <col min="8" max="8" width="52.453125" customWidth="1"/>
    <col min="9" max="9" width="25.81640625" customWidth="1"/>
    <col min="10" max="10" width="1.81640625" customWidth="1"/>
    <col min="11" max="11" width="25" hidden="1" customWidth="1"/>
    <col min="12" max="12" width="6.81640625" hidden="1" customWidth="1"/>
    <col min="13" max="13" width="3.81640625" hidden="1" customWidth="1"/>
    <col min="14" max="16384" width="8.81640625" hidden="1"/>
  </cols>
  <sheetData>
    <row r="1" spans="2:2" s="2" customFormat="1" x14ac:dyDescent="0.35"/>
    <row r="2" spans="2:2" s="2" customFormat="1" x14ac:dyDescent="0.35"/>
    <row r="3" spans="2:2" s="2" customFormat="1" x14ac:dyDescent="0.35"/>
    <row r="4" spans="2:2" ht="2.15" customHeight="1" x14ac:dyDescent="0.35"/>
    <row r="5" spans="2:2" s="1" customFormat="1" ht="5.15" customHeight="1" x14ac:dyDescent="0.35"/>
    <row r="6" spans="2:2" ht="3" customHeight="1" x14ac:dyDescent="0.35"/>
    <row r="7" spans="2:2" s="1" customFormat="1" ht="5.15" customHeight="1" x14ac:dyDescent="0.35"/>
    <row r="8" spans="2:2" ht="2.15" customHeight="1" x14ac:dyDescent="0.35"/>
    <row r="9" spans="2:2" ht="25" customHeight="1" x14ac:dyDescent="0.35"/>
    <row r="10" spans="2:2" ht="25" customHeight="1" x14ac:dyDescent="0.35"/>
    <row r="11" spans="2:2" ht="14.5" customHeight="1" x14ac:dyDescent="0.45">
      <c r="B11" s="3"/>
    </row>
    <row r="12" spans="2:2" ht="14.5" customHeight="1" x14ac:dyDescent="0.35"/>
    <row r="13" spans="2:2" ht="14.5" customHeight="1" x14ac:dyDescent="0.35"/>
    <row r="14" spans="2:2" ht="14.5" customHeight="1" x14ac:dyDescent="0.35"/>
    <row r="15" spans="2:2" ht="14.5" customHeight="1" x14ac:dyDescent="0.35"/>
    <row r="16" spans="2:2" ht="14.5" customHeight="1" x14ac:dyDescent="0.35"/>
    <row r="17" ht="14.5" customHeight="1" x14ac:dyDescent="0.35"/>
    <row r="18" ht="14.5" customHeight="1" x14ac:dyDescent="0.35"/>
    <row r="19" ht="14.5" customHeight="1" x14ac:dyDescent="0.35"/>
    <row r="20" ht="14.5" customHeight="1" x14ac:dyDescent="0.35"/>
    <row r="21" ht="14.5" customHeight="1" x14ac:dyDescent="0.35"/>
    <row r="22" ht="14.5" customHeight="1" x14ac:dyDescent="0.35"/>
    <row r="23" ht="14.5" customHeight="1" x14ac:dyDescent="0.35"/>
    <row r="24" ht="14.5" customHeight="1" x14ac:dyDescent="0.35"/>
    <row r="25" ht="14.5" customHeight="1" x14ac:dyDescent="0.35"/>
    <row r="26" ht="14.5" customHeight="1" x14ac:dyDescent="0.35"/>
    <row r="27" ht="14.5" customHeight="1" x14ac:dyDescent="0.35"/>
    <row r="28" ht="14.5" customHeight="1" x14ac:dyDescent="0.35"/>
    <row r="29" ht="14.5" customHeight="1" x14ac:dyDescent="0.35"/>
    <row r="30" ht="14.5" customHeight="1" x14ac:dyDescent="0.35"/>
    <row r="31" ht="14.5" customHeight="1" x14ac:dyDescent="0.35"/>
    <row r="32" ht="14.5" customHeight="1" x14ac:dyDescent="0.35"/>
    <row r="33" spans="2:2" ht="14.5" customHeight="1" x14ac:dyDescent="0.35"/>
    <row r="34" spans="2:2" ht="14.5" customHeight="1" x14ac:dyDescent="0.45">
      <c r="B34" s="3"/>
    </row>
    <row r="35" spans="2:2" ht="14.5" customHeight="1" x14ac:dyDescent="0.35"/>
    <row r="36" spans="2:2" ht="14.5" customHeight="1" x14ac:dyDescent="0.35"/>
    <row r="37" spans="2:2" ht="15" customHeight="1" x14ac:dyDescent="0.35"/>
    <row r="38" spans="2:2" ht="15" customHeight="1" x14ac:dyDescent="0.35"/>
    <row r="39" spans="2:2" ht="15" customHeight="1" x14ac:dyDescent="0.35"/>
    <row r="40" spans="2:2" ht="15" customHeight="1" x14ac:dyDescent="0.35"/>
    <row r="41" spans="2:2" ht="15" customHeight="1" x14ac:dyDescent="0.35"/>
    <row r="42" spans="2:2" ht="15" customHeight="1" x14ac:dyDescent="0.35"/>
    <row r="43" spans="2:2" ht="15" customHeight="1" x14ac:dyDescent="0.35"/>
    <row r="44" spans="2:2" ht="15" customHeight="1" x14ac:dyDescent="0.35"/>
    <row r="45" spans="2:2" ht="15" customHeight="1" x14ac:dyDescent="0.35"/>
    <row r="46" spans="2:2" ht="15" customHeight="1" x14ac:dyDescent="0.35"/>
    <row r="47" spans="2:2" ht="15" customHeight="1" x14ac:dyDescent="0.35"/>
    <row r="48" spans="2:2" ht="15" customHeight="1" x14ac:dyDescent="0.35"/>
    <row r="49" spans="2:2" ht="14.5" customHeight="1" x14ac:dyDescent="0.35"/>
    <row r="50" spans="2:2" ht="14.5" customHeight="1" x14ac:dyDescent="0.35"/>
    <row r="51" spans="2:2" ht="14.5" customHeight="1" x14ac:dyDescent="0.35"/>
    <row r="52" spans="2:2" ht="14.5" customHeight="1" x14ac:dyDescent="0.35"/>
    <row r="53" spans="2:2" ht="14.5" customHeight="1" x14ac:dyDescent="0.35"/>
    <row r="54" spans="2:2" ht="14.5" customHeight="1" x14ac:dyDescent="0.35"/>
    <row r="55" spans="2:2" ht="14.5" customHeight="1" x14ac:dyDescent="0.35"/>
    <row r="56" spans="2:2" ht="14.5" customHeight="1" x14ac:dyDescent="0.35"/>
    <row r="57" spans="2:2" ht="14.5" customHeight="1" x14ac:dyDescent="0.35"/>
    <row r="58" spans="2:2" ht="14.5" customHeight="1" x14ac:dyDescent="0.45">
      <c r="B58" s="3"/>
    </row>
    <row r="59" spans="2:2" ht="14.5" customHeight="1" x14ac:dyDescent="0.35"/>
    <row r="60" spans="2:2" ht="14.5" customHeight="1" x14ac:dyDescent="0.35"/>
    <row r="61" spans="2:2" ht="14.5" customHeight="1" x14ac:dyDescent="0.35"/>
    <row r="62" spans="2:2" ht="14.5" customHeight="1" x14ac:dyDescent="0.35"/>
    <row r="63" spans="2:2" ht="14.5" customHeight="1" x14ac:dyDescent="0.35"/>
    <row r="64" spans="2:2" ht="14.5" customHeight="1" x14ac:dyDescent="0.35"/>
    <row r="65" spans="2:2" ht="14.5" customHeight="1" x14ac:dyDescent="0.35"/>
    <row r="66" spans="2:2" ht="14.5" customHeight="1" x14ac:dyDescent="0.35"/>
    <row r="67" spans="2:2" ht="14.5" customHeight="1" x14ac:dyDescent="0.35"/>
    <row r="68" spans="2:2" ht="14.5" customHeight="1" x14ac:dyDescent="0.35"/>
    <row r="69" spans="2:2" ht="14.5" customHeight="1" x14ac:dyDescent="0.35"/>
    <row r="70" spans="2:2" ht="14.5" customHeight="1" x14ac:dyDescent="0.35"/>
    <row r="71" spans="2:2" ht="14.5" customHeight="1" x14ac:dyDescent="0.35"/>
    <row r="72" spans="2:2" ht="14.5" customHeight="1" x14ac:dyDescent="0.35"/>
    <row r="73" spans="2:2" ht="14.5" customHeight="1" x14ac:dyDescent="0.35"/>
    <row r="74" spans="2:2" ht="14.5" customHeight="1" x14ac:dyDescent="0.35"/>
    <row r="75" spans="2:2" ht="14.5" customHeight="1" x14ac:dyDescent="0.35"/>
    <row r="76" spans="2:2" ht="14.5" customHeight="1" x14ac:dyDescent="0.35"/>
    <row r="77" spans="2:2" ht="14.5" customHeight="1" x14ac:dyDescent="0.35"/>
    <row r="78" spans="2:2" ht="14.5" customHeight="1" x14ac:dyDescent="0.35"/>
    <row r="79" spans="2:2" ht="14.5" customHeight="1" x14ac:dyDescent="0.45">
      <c r="B79" s="3"/>
    </row>
    <row r="80" spans="2:2" ht="14.5" customHeight="1" x14ac:dyDescent="0.35"/>
    <row r="81" ht="14.5" customHeight="1" x14ac:dyDescent="0.35"/>
    <row r="82" ht="14.5" customHeight="1" x14ac:dyDescent="0.35"/>
    <row r="83" ht="14.5" customHeight="1" x14ac:dyDescent="0.35"/>
    <row r="84" ht="14.5" customHeight="1" x14ac:dyDescent="0.35"/>
    <row r="85" ht="14.5" customHeight="1" x14ac:dyDescent="0.35"/>
    <row r="86" ht="14.5" customHeight="1" x14ac:dyDescent="0.35"/>
    <row r="87" ht="14.5" customHeight="1" x14ac:dyDescent="0.35"/>
    <row r="88" ht="14.5" customHeight="1" x14ac:dyDescent="0.35"/>
    <row r="89" ht="14.5" customHeight="1" x14ac:dyDescent="0.35"/>
    <row r="90" ht="14.5" customHeight="1" x14ac:dyDescent="0.35"/>
    <row r="91" ht="14.5" customHeight="1" x14ac:dyDescent="0.35"/>
    <row r="92" ht="14.5" customHeight="1" x14ac:dyDescent="0.35"/>
    <row r="93" ht="14.5" customHeight="1" x14ac:dyDescent="0.35"/>
    <row r="94" ht="14.5" customHeight="1" x14ac:dyDescent="0.35"/>
    <row r="95" ht="14.5" customHeight="1" x14ac:dyDescent="0.35"/>
    <row r="96" ht="14.5" customHeight="1" x14ac:dyDescent="0.35"/>
    <row r="97" spans="2:2" ht="14.5" customHeight="1" x14ac:dyDescent="0.35"/>
    <row r="98" spans="2:2" ht="14.5" customHeight="1" x14ac:dyDescent="0.35"/>
    <row r="99" spans="2:2" ht="14.5" customHeight="1" x14ac:dyDescent="0.35"/>
    <row r="100" spans="2:2" ht="14.5" customHeight="1" x14ac:dyDescent="0.35"/>
    <row r="101" spans="2:2" ht="14.5" customHeight="1" x14ac:dyDescent="0.35"/>
    <row r="102" spans="2:2" ht="14.5" customHeight="1" x14ac:dyDescent="0.35"/>
    <row r="103" spans="2:2" ht="14.5" customHeight="1" x14ac:dyDescent="0.35"/>
    <row r="104" spans="2:2" ht="14.5" customHeight="1" x14ac:dyDescent="0.35"/>
    <row r="105" spans="2:2" ht="14.5" customHeight="1" x14ac:dyDescent="0.45">
      <c r="B105" s="3"/>
    </row>
    <row r="106" spans="2:2" ht="14.5" customHeight="1" x14ac:dyDescent="0.35"/>
    <row r="107" spans="2:2" ht="14.5" customHeight="1" x14ac:dyDescent="0.35"/>
    <row r="108" spans="2:2" ht="14.5" customHeight="1" x14ac:dyDescent="0.35"/>
    <row r="109" spans="2:2" ht="14.5" customHeight="1" x14ac:dyDescent="0.35"/>
    <row r="110" spans="2:2" ht="14.5" customHeight="1" x14ac:dyDescent="0.35"/>
    <row r="111" spans="2:2" ht="14.5" customHeight="1" x14ac:dyDescent="0.35"/>
    <row r="112" spans="2:2" ht="14.5" customHeight="1" x14ac:dyDescent="0.35"/>
    <row r="113" ht="14.5" customHeight="1" x14ac:dyDescent="0.35"/>
    <row r="114" ht="14.5" customHeight="1" x14ac:dyDescent="0.35"/>
    <row r="115" ht="14.5" customHeight="1" x14ac:dyDescent="0.35"/>
    <row r="116" ht="14.5" customHeight="1" x14ac:dyDescent="0.35"/>
    <row r="117" ht="14.5" customHeight="1" x14ac:dyDescent="0.35"/>
    <row r="118" ht="14.5" customHeight="1" x14ac:dyDescent="0.35"/>
    <row r="119" ht="14.5" customHeight="1" x14ac:dyDescent="0.35"/>
    <row r="120" ht="14.5" customHeight="1" x14ac:dyDescent="0.35"/>
    <row r="121" ht="14.5" customHeight="1" x14ac:dyDescent="0.35"/>
    <row r="122" ht="14.5" customHeight="1" x14ac:dyDescent="0.35"/>
    <row r="123" ht="14.5" customHeight="1" x14ac:dyDescent="0.35"/>
    <row r="124" ht="14.5" customHeight="1" x14ac:dyDescent="0.35"/>
    <row r="125" ht="14.5" customHeight="1" x14ac:dyDescent="0.35"/>
    <row r="126" ht="14.5" customHeight="1" x14ac:dyDescent="0.35"/>
    <row r="127" ht="14.5" customHeight="1" x14ac:dyDescent="0.35"/>
    <row r="128" ht="14.5" customHeight="1" x14ac:dyDescent="0.35"/>
    <row r="129" ht="14.5" customHeight="1" x14ac:dyDescent="0.35"/>
    <row r="130" ht="14.5" customHeight="1" x14ac:dyDescent="0.35"/>
    <row r="131" ht="14.5" customHeight="1" x14ac:dyDescent="0.35"/>
    <row r="132" ht="14.5" customHeight="1" x14ac:dyDescent="0.35"/>
    <row r="133" ht="14.5" customHeight="1" x14ac:dyDescent="0.35"/>
    <row r="134" ht="14.5" customHeight="1" x14ac:dyDescent="0.35"/>
    <row r="135" ht="14.5" customHeight="1" x14ac:dyDescent="0.35"/>
    <row r="136" ht="14.5" customHeight="1" x14ac:dyDescent="0.35"/>
    <row r="137" ht="14.5" customHeight="1" x14ac:dyDescent="0.35"/>
    <row r="138" ht="14.5" customHeight="1" x14ac:dyDescent="0.35"/>
    <row r="139" ht="14.5" customHeight="1" x14ac:dyDescent="0.35"/>
    <row r="140" ht="14.5" customHeight="1" x14ac:dyDescent="0.35"/>
    <row r="141" ht="14.5" customHeight="1" x14ac:dyDescent="0.35"/>
    <row r="142" ht="14.5" customHeight="1" x14ac:dyDescent="0.35"/>
    <row r="143" ht="14.5" customHeight="1" x14ac:dyDescent="0.35"/>
    <row r="144" ht="14.5" customHeight="1" x14ac:dyDescent="0.35"/>
    <row r="145" spans="2:2" ht="14.5" customHeight="1" x14ac:dyDescent="0.35"/>
    <row r="146" spans="2:2" ht="14.5" customHeight="1" x14ac:dyDescent="0.45">
      <c r="B146" s="3"/>
    </row>
    <row r="147" spans="2:2" ht="14.5" customHeight="1" x14ac:dyDescent="0.35"/>
    <row r="148" spans="2:2" ht="14.5" customHeight="1" x14ac:dyDescent="0.35"/>
    <row r="149" spans="2:2" ht="14.5" customHeight="1" x14ac:dyDescent="0.35"/>
    <row r="150" spans="2:2" ht="14.5" customHeight="1" x14ac:dyDescent="0.35"/>
    <row r="151" spans="2:2" ht="14.5" customHeight="1" x14ac:dyDescent="0.35"/>
    <row r="152" spans="2:2" ht="14.5" customHeight="1" x14ac:dyDescent="0.35"/>
    <row r="153" spans="2:2" ht="14.5" customHeight="1" x14ac:dyDescent="0.35"/>
    <row r="154" spans="2:2" ht="14.5" customHeight="1" x14ac:dyDescent="0.35"/>
    <row r="155" spans="2:2" ht="14.5" customHeight="1" x14ac:dyDescent="0.35"/>
    <row r="156" spans="2:2" ht="14.5" customHeight="1" x14ac:dyDescent="0.35"/>
    <row r="157" spans="2:2" ht="14.5" customHeight="1" x14ac:dyDescent="0.35"/>
    <row r="158" spans="2:2" ht="14.5" customHeight="1" x14ac:dyDescent="0.35"/>
    <row r="159" spans="2:2" ht="14.5" customHeight="1" x14ac:dyDescent="0.35"/>
    <row r="160" spans="2:2" ht="14.5" customHeight="1" x14ac:dyDescent="0.35"/>
    <row r="161" ht="14.5" customHeight="1" x14ac:dyDescent="0.35"/>
    <row r="162" ht="14.5" customHeight="1" x14ac:dyDescent="0.35"/>
    <row r="163" ht="14.5" customHeight="1" x14ac:dyDescent="0.35"/>
    <row r="164" ht="14.5" customHeight="1" x14ac:dyDescent="0.35"/>
    <row r="165" ht="14.5" customHeight="1" x14ac:dyDescent="0.35"/>
    <row r="166" ht="14.5" customHeight="1" x14ac:dyDescent="0.35"/>
    <row r="167" ht="14.5" customHeight="1" x14ac:dyDescent="0.35"/>
    <row r="168" ht="14.5" customHeight="1" x14ac:dyDescent="0.35"/>
    <row r="169" ht="14.5" customHeight="1" x14ac:dyDescent="0.35"/>
    <row r="170" ht="14.5" customHeight="1" x14ac:dyDescent="0.35"/>
    <row r="171" ht="14.5" customHeight="1" x14ac:dyDescent="0.35"/>
    <row r="172" ht="14.5" customHeight="1" x14ac:dyDescent="0.35"/>
    <row r="173" ht="14.5" customHeight="1" x14ac:dyDescent="0.35"/>
    <row r="174" ht="14.5" customHeight="1" x14ac:dyDescent="0.35"/>
    <row r="175" ht="14.5" customHeight="1" x14ac:dyDescent="0.35"/>
    <row r="176" ht="14.5" customHeight="1" x14ac:dyDescent="0.35"/>
    <row r="177" ht="14.5" customHeight="1" x14ac:dyDescent="0.35"/>
    <row r="178" ht="14.5" customHeight="1" x14ac:dyDescent="0.35"/>
    <row r="179" ht="14.5" customHeight="1" x14ac:dyDescent="0.35"/>
    <row r="180" ht="14.5" customHeight="1" x14ac:dyDescent="0.35"/>
    <row r="181" ht="14.5" customHeight="1" x14ac:dyDescent="0.35"/>
    <row r="182" ht="14.5" customHeight="1" x14ac:dyDescent="0.35"/>
    <row r="183" ht="14.5" customHeight="1" x14ac:dyDescent="0.35"/>
    <row r="184" ht="14.5" customHeight="1" x14ac:dyDescent="0.35"/>
    <row r="185" ht="14.5" customHeight="1" x14ac:dyDescent="0.35"/>
    <row r="186" ht="14.5" customHeight="1" x14ac:dyDescent="0.35"/>
    <row r="187" ht="14.5" customHeight="1" x14ac:dyDescent="0.35"/>
    <row r="188" ht="14.5" customHeight="1" x14ac:dyDescent="0.35"/>
    <row r="189" ht="14.5" customHeight="1" x14ac:dyDescent="0.35"/>
    <row r="190" ht="14.5" customHeight="1" x14ac:dyDescent="0.35"/>
    <row r="191" ht="14.5" customHeight="1" x14ac:dyDescent="0.35"/>
    <row r="192" ht="14.5" customHeight="1" x14ac:dyDescent="0.35"/>
    <row r="193" ht="14.5" customHeight="1" x14ac:dyDescent="0.35"/>
    <row r="194" ht="14.5" customHeight="1" x14ac:dyDescent="0.35"/>
    <row r="195" ht="14.5" customHeight="1" x14ac:dyDescent="0.35"/>
    <row r="196" ht="14.5" customHeight="1" x14ac:dyDescent="0.35"/>
    <row r="197" ht="14.5" customHeight="1" x14ac:dyDescent="0.35"/>
    <row r="198" ht="14.5" customHeight="1" x14ac:dyDescent="0.35"/>
    <row r="199" ht="14.5" customHeight="1" x14ac:dyDescent="0.35"/>
    <row r="200" ht="14.5" customHeight="1" x14ac:dyDescent="0.35"/>
    <row r="201" ht="14.5" customHeight="1" x14ac:dyDescent="0.35"/>
    <row r="202" ht="14.5" customHeight="1" x14ac:dyDescent="0.35"/>
    <row r="203" ht="14.5" customHeight="1" x14ac:dyDescent="0.35"/>
    <row r="204" ht="14.5" customHeight="1" x14ac:dyDescent="0.35"/>
    <row r="205" ht="14.5" customHeight="1" x14ac:dyDescent="0.35"/>
    <row r="206" ht="14.5" customHeight="1" x14ac:dyDescent="0.35"/>
    <row r="207" ht="14.5" customHeight="1" x14ac:dyDescent="0.35"/>
    <row r="208" ht="14.5" customHeight="1" x14ac:dyDescent="0.35"/>
    <row r="209" ht="14.5" customHeight="1" x14ac:dyDescent="0.35"/>
    <row r="210" ht="18.649999999999999" customHeight="1" x14ac:dyDescent="0.35"/>
    <row r="211" ht="14.5" customHeight="1" x14ac:dyDescent="0.35"/>
    <row r="212" ht="14.5" customHeight="1" x14ac:dyDescent="0.35"/>
    <row r="213" ht="14.5" customHeight="1" x14ac:dyDescent="0.35"/>
    <row r="214" ht="14.5" customHeight="1" x14ac:dyDescent="0.35"/>
    <row r="215" ht="14.5" customHeight="1" x14ac:dyDescent="0.35"/>
    <row r="216" ht="14.5" customHeight="1" x14ac:dyDescent="0.35"/>
    <row r="217" ht="14.5" customHeight="1" x14ac:dyDescent="0.35"/>
    <row r="218" ht="14.5" customHeight="1" x14ac:dyDescent="0.35"/>
    <row r="219" ht="14.5" customHeight="1" x14ac:dyDescent="0.35"/>
    <row r="1048576" ht="9" hidden="1" customHeight="1" x14ac:dyDescent="0.35"/>
  </sheetData>
  <sheetProtection selectLockedCells="1" selectUnlockedCells="1"/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A79FA87A3D8904EADCD3BA680900A4C" ma:contentTypeVersion="11" ma:contentTypeDescription="Crie um novo documento." ma:contentTypeScope="" ma:versionID="901820da100fce07c0fc20ce84fa453d">
  <xsd:schema xmlns:xsd="http://www.w3.org/2001/XMLSchema" xmlns:xs="http://www.w3.org/2001/XMLSchema" xmlns:p="http://schemas.microsoft.com/office/2006/metadata/properties" xmlns:ns3="0204dfed-6e98-4015-bf9a-d75d1850e129" xmlns:ns4="8ce76665-c74a-4abe-a251-606bd3042eb3" targetNamespace="http://schemas.microsoft.com/office/2006/metadata/properties" ma:root="true" ma:fieldsID="557fa8d1803b15bd5350b86df66f635f" ns3:_="" ns4:_="">
    <xsd:import namespace="0204dfed-6e98-4015-bf9a-d75d1850e129"/>
    <xsd:import namespace="8ce76665-c74a-4abe-a251-606bd3042eb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04dfed-6e98-4015-bf9a-d75d1850e12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e76665-c74a-4abe-a251-606bd3042eb3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Compartilhado com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Detalhes de Compartilhado Com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Hash de Dica de Compartilhamento" ma:description="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5C76753-1F7D-45B2-AE9E-A716D34AE65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70B9BBE-413C-4DCA-A7BF-F3AF73C4ADD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011E2F-21A0-4BA3-850C-54A8CBDFB9F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204dfed-6e98-4015-bf9a-d75d1850e129"/>
    <ds:schemaRef ds:uri="8ce76665-c74a-4abe-a251-606bd3042e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30</vt:i4>
      </vt:variant>
    </vt:vector>
  </HeadingPairs>
  <TitlesOfParts>
    <vt:vector size="40" baseType="lpstr">
      <vt:lpstr>Menu</vt:lpstr>
      <vt:lpstr>CADASTRO</vt:lpstr>
      <vt:lpstr>INFORMAÇÕES</vt:lpstr>
      <vt:lpstr>OBJETIVOS</vt:lpstr>
      <vt:lpstr>AVALIAÇÃO</vt:lpstr>
      <vt:lpstr>FOTO</vt:lpstr>
      <vt:lpstr>FICHA</vt:lpstr>
      <vt:lpstr>Aux</vt:lpstr>
      <vt:lpstr>Dash</vt:lpstr>
      <vt:lpstr>Instruções</vt:lpstr>
      <vt:lpstr>AVALIAÇÃO!Area_de_impressao</vt:lpstr>
      <vt:lpstr>CADASTRO!Area_de_impressao</vt:lpstr>
      <vt:lpstr>Dash!Area_de_impressao</vt:lpstr>
      <vt:lpstr>FICHA!Area_de_impressao</vt:lpstr>
      <vt:lpstr>FOTO!Area_de_impressao</vt:lpstr>
      <vt:lpstr>INFORMAÇÕES!Area_de_impressao</vt:lpstr>
      <vt:lpstr>OBJETIVOS!Area_de_impressao</vt:lpstr>
      <vt:lpstr>Foto01</vt:lpstr>
      <vt:lpstr>Foto02</vt:lpstr>
      <vt:lpstr>Foto03</vt:lpstr>
      <vt:lpstr>Foto04</vt:lpstr>
      <vt:lpstr>Foto05</vt:lpstr>
      <vt:lpstr>Foto06</vt:lpstr>
      <vt:lpstr>Foto07</vt:lpstr>
      <vt:lpstr>Foto08</vt:lpstr>
      <vt:lpstr>Foto09</vt:lpstr>
      <vt:lpstr>Foto10</vt:lpstr>
      <vt:lpstr>Foto11</vt:lpstr>
      <vt:lpstr>Foto12</vt:lpstr>
      <vt:lpstr>Foto13</vt:lpstr>
      <vt:lpstr>Foto14</vt:lpstr>
      <vt:lpstr>Foto15</vt:lpstr>
      <vt:lpstr>FICHA!pergunta</vt:lpstr>
      <vt:lpstr>persona</vt:lpstr>
      <vt:lpstr>AVALIAÇÃO!Titulos_de_impressao</vt:lpstr>
      <vt:lpstr>CADASTRO!Titulos_de_impressao</vt:lpstr>
      <vt:lpstr>FICHA!Titulos_de_impressao</vt:lpstr>
      <vt:lpstr>FOTO!Titulos_de_impressao</vt:lpstr>
      <vt:lpstr>INFORMAÇÕES!Titulos_de_impressao</vt:lpstr>
      <vt:lpstr>OBJETIVOS!Titulos_de_impressao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Silas Galvino</dc:creator>
  <cp:lastModifiedBy>Viviane Canna Brasil Sousa</cp:lastModifiedBy>
  <cp:lastPrinted>2021-10-23T14:28:52Z</cp:lastPrinted>
  <dcterms:created xsi:type="dcterms:W3CDTF">2020-01-02T17:40:39Z</dcterms:created>
  <dcterms:modified xsi:type="dcterms:W3CDTF">2022-01-13T18:04:18Z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73802975-95e4-4434-bbe4-a8925353e93a</vt:lpwstr>
  </property>
  <property fmtid="{D5CDD505-2E9C-101B-9397-08002B2CF9AE}" pid="3" name="ContentTypeId">
    <vt:lpwstr>0x0101008A79FA87A3D8904EADCD3BA680900A4C</vt:lpwstr>
  </property>
</Properties>
</file>